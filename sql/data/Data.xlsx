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Desktop\rental-property-system\sql\data\"/>
    </mc:Choice>
  </mc:AlternateContent>
  <xr:revisionPtr revIDLastSave="0" documentId="13_ncr:1_{F7C1F93A-FCDE-48FB-9C09-D12F8BD079A9}" xr6:coauthVersionLast="47" xr6:coauthVersionMax="47" xr10:uidLastSave="{00000000-0000-0000-0000-000000000000}"/>
  <bookViews>
    <workbookView xWindow="-120" yWindow="-120" windowWidth="29040" windowHeight="16440" activeTab="2" xr2:uid="{31B9E9DA-9B8F-4377-904E-5EBFFCED5655}"/>
  </bookViews>
  <sheets>
    <sheet name="Data" sheetId="1" r:id="rId1"/>
    <sheet name="Summary" sheetId="2" r:id="rId2"/>
    <sheet name="Pivots" sheetId="5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2" i="2"/>
  <c r="F2" i="2" s="1"/>
  <c r="D3" i="2"/>
  <c r="D4" i="2"/>
  <c r="D5" i="2"/>
  <c r="D6" i="2"/>
  <c r="D7" i="2"/>
  <c r="D8" i="2"/>
  <c r="D9" i="2"/>
  <c r="D10" i="2"/>
  <c r="D11" i="2"/>
  <c r="D12" i="2"/>
  <c r="D13" i="2"/>
  <c r="D2" i="2"/>
  <c r="B3" i="2"/>
  <c r="B4" i="2"/>
  <c r="B5" i="2"/>
  <c r="B6" i="2"/>
  <c r="B7" i="2"/>
  <c r="B8" i="2"/>
  <c r="B9" i="2"/>
  <c r="B10" i="2"/>
  <c r="B11" i="2"/>
  <c r="B12" i="2"/>
  <c r="B13" i="2"/>
  <c r="B2" i="2"/>
  <c r="C3" i="2"/>
  <c r="C4" i="2"/>
  <c r="C5" i="2"/>
  <c r="C6" i="2"/>
  <c r="C7" i="2"/>
  <c r="C8" i="2"/>
  <c r="C9" i="2"/>
  <c r="C10" i="2"/>
  <c r="C11" i="2"/>
  <c r="C12" i="2"/>
  <c r="C13" i="2"/>
  <c r="C2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2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2" i="1"/>
</calcChain>
</file>

<file path=xl/sharedStrings.xml><?xml version="1.0" encoding="utf-8"?>
<sst xmlns="http://schemas.openxmlformats.org/spreadsheetml/2006/main" count="511" uniqueCount="172">
  <si>
    <t>property_id</t>
  </si>
  <si>
    <t>title</t>
  </si>
  <si>
    <t>city</t>
  </si>
  <si>
    <t>locality</t>
  </si>
  <si>
    <t>property_type</t>
  </si>
  <si>
    <t>bedrooms</t>
  </si>
  <si>
    <t>bathrooms</t>
  </si>
  <si>
    <t>area_sqft</t>
  </si>
  <si>
    <t>furnished</t>
  </si>
  <si>
    <t>floor</t>
  </si>
  <si>
    <t>amenity_count</t>
  </si>
  <si>
    <t>rent</t>
  </si>
  <si>
    <t>status</t>
  </si>
  <si>
    <t>owner_name</t>
  </si>
  <si>
    <t>inquiry_count</t>
  </si>
  <si>
    <t>rent_per_sqft</t>
  </si>
  <si>
    <t>3BHK Apartment in Sector 35, Chandigarh</t>
  </si>
  <si>
    <t>Chandigarh</t>
  </si>
  <si>
    <t>Sector 35</t>
  </si>
  <si>
    <t>Apartment</t>
  </si>
  <si>
    <t>Semi-Furnished</t>
  </si>
  <si>
    <t>Available</t>
  </si>
  <si>
    <t>Rajesh Kumar</t>
  </si>
  <si>
    <t>4BHK Villa in Manimajra, Chandigarh</t>
  </si>
  <si>
    <t>Manimajra</t>
  </si>
  <si>
    <t>Villa</t>
  </si>
  <si>
    <t>2BHK Apartment in Manimajra, Chandigarh</t>
  </si>
  <si>
    <t>Furnished</t>
  </si>
  <si>
    <t>Rented</t>
  </si>
  <si>
    <t>3BHK Independent House in Sector 35, Chandigarh</t>
  </si>
  <si>
    <t>Independent House</t>
  </si>
  <si>
    <t>Studio / PG Room in Manimajra, Chandigarh</t>
  </si>
  <si>
    <t>PG/Studio</t>
  </si>
  <si>
    <t>Unfurnished</t>
  </si>
  <si>
    <t>4BHK Apartment in Sector 71, Mohali</t>
  </si>
  <si>
    <t>Mohali</t>
  </si>
  <si>
    <t>Sector 71</t>
  </si>
  <si>
    <t>Gurpreet Singh</t>
  </si>
  <si>
    <t>Studio / PG Room in Sector 71, Mohali</t>
  </si>
  <si>
    <t>1BHK Apartment in Sector 70, Mohali</t>
  </si>
  <si>
    <t>Sector 70</t>
  </si>
  <si>
    <t>3BHK Apartment in Phase 5, Mohali</t>
  </si>
  <si>
    <t>Phase 5</t>
  </si>
  <si>
    <t>Studio / PG Room in Sector 15, Panchkula</t>
  </si>
  <si>
    <t>Panchkula</t>
  </si>
  <si>
    <t>Sector 15</t>
  </si>
  <si>
    <t>Sunita Verma</t>
  </si>
  <si>
    <t>4BHK Apartment in Sector 15, Panchkula</t>
  </si>
  <si>
    <t>Studio / PG Room in Sector 7, Panchkula</t>
  </si>
  <si>
    <t>Sector 7</t>
  </si>
  <si>
    <t>4BHK Apartment in Sector 20, Panchkula</t>
  </si>
  <si>
    <t>Sector 20</t>
  </si>
  <si>
    <t>Studio / PG Room in Sector 20, Panchkula</t>
  </si>
  <si>
    <t>2BHK Apartment in Janakpuri, Delhi</t>
  </si>
  <si>
    <t>Delhi</t>
  </si>
  <si>
    <t>Janakpuri</t>
  </si>
  <si>
    <t>Amit Agarwal</t>
  </si>
  <si>
    <t>4BHK Apartment in Lajpat Nagar, Delhi</t>
  </si>
  <si>
    <t>Lajpat Nagar</t>
  </si>
  <si>
    <t>1BHK Apartment in Rohini, Delhi</t>
  </si>
  <si>
    <t>Rohini</t>
  </si>
  <si>
    <t>4BHK Apartment in Saket, Delhi</t>
  </si>
  <si>
    <t>Saket</t>
  </si>
  <si>
    <t>Studio / PG Room in Rohini, Delhi</t>
  </si>
  <si>
    <t>2BHK Apartment in Sohna Road, Gurugram</t>
  </si>
  <si>
    <t>Gurugram</t>
  </si>
  <si>
    <t>Sohna Road</t>
  </si>
  <si>
    <t>Harpreet Kaur</t>
  </si>
  <si>
    <t>Studio / PG Room in DLF Phase 3, Gurugram</t>
  </si>
  <si>
    <t>DLF Phase 3</t>
  </si>
  <si>
    <t>3BHK Apartment in Golf Course Road, Gurugram</t>
  </si>
  <si>
    <t>Golf Course Road</t>
  </si>
  <si>
    <t>Studio / PG Room in Sector 56, Gurugram</t>
  </si>
  <si>
    <t>Sector 56</t>
  </si>
  <si>
    <t>4BHK Apartment in Sector 56, Gurugram</t>
  </si>
  <si>
    <t>1BHK Apartment in Sector 137, Noida</t>
  </si>
  <si>
    <t>Noida</t>
  </si>
  <si>
    <t>Sector 137</t>
  </si>
  <si>
    <t>Vikram Malhotra</t>
  </si>
  <si>
    <t>2BHK Independent House in Sector 137, Noida</t>
  </si>
  <si>
    <t>3BHK Apartment in Sector 18, Noida</t>
  </si>
  <si>
    <t>Sector 18</t>
  </si>
  <si>
    <t>3BHK Apartment in Sector 75, Noida</t>
  </si>
  <si>
    <t>Sector 75</t>
  </si>
  <si>
    <t>3BHK Villa in Sector 62, Noida</t>
  </si>
  <si>
    <t>Sector 62</t>
  </si>
  <si>
    <t>4BHK Villa in Powai, Mumbai</t>
  </si>
  <si>
    <t>Mumbai</t>
  </si>
  <si>
    <t>Powai</t>
  </si>
  <si>
    <t>Neha Gupta</t>
  </si>
  <si>
    <t>4BHK Apartment in Andheri West, Mumbai</t>
  </si>
  <si>
    <t>Andheri West</t>
  </si>
  <si>
    <t>Studio / PG Room in Borivali, Mumbai</t>
  </si>
  <si>
    <t>Borivali</t>
  </si>
  <si>
    <t>3BHK Apartment in Andheri West, Mumbai</t>
  </si>
  <si>
    <t>4BHK Apartment in Powai, Mumbai</t>
  </si>
  <si>
    <t>2BHK Apartment in Wakad, Pune</t>
  </si>
  <si>
    <t>Pune</t>
  </si>
  <si>
    <t>Wakad</t>
  </si>
  <si>
    <t>Suresh Reddy</t>
  </si>
  <si>
    <t>3BHK Apartment in Baner, Pune</t>
  </si>
  <si>
    <t>Baner</t>
  </si>
  <si>
    <t>4BHK Independent House in Hinjewadi, Pune</t>
  </si>
  <si>
    <t>Hinjewadi</t>
  </si>
  <si>
    <t>4BHK Apartment in Baner, Pune</t>
  </si>
  <si>
    <t>2BHK Apartment in Kothrud, Pune</t>
  </si>
  <si>
    <t>Kothrud</t>
  </si>
  <si>
    <t>3BHK Apartment in Koramangala, Bengaluru</t>
  </si>
  <si>
    <t>Bengaluru</t>
  </si>
  <si>
    <t>Koramangala</t>
  </si>
  <si>
    <t>Anil Joshi</t>
  </si>
  <si>
    <t>4BHK Independent House in Whitefield, Bengaluru</t>
  </si>
  <si>
    <t>Whitefield</t>
  </si>
  <si>
    <t>3BHK Apartment in HSR Layout, Bengaluru</t>
  </si>
  <si>
    <t>HSR Layout</t>
  </si>
  <si>
    <t>1BHK Apartment in Whitefield, Bengaluru</t>
  </si>
  <si>
    <t>Studio / PG Room in Electronic City, Bengaluru</t>
  </si>
  <si>
    <t>Electronic City</t>
  </si>
  <si>
    <t>4BHK Apartment in Madhapur, Hyderabad</t>
  </si>
  <si>
    <t>Hyderabad</t>
  </si>
  <si>
    <t>Madhapur</t>
  </si>
  <si>
    <t>1BHK Apartment in Banjara Hills, Hyderabad</t>
  </si>
  <si>
    <t>Banjara Hills</t>
  </si>
  <si>
    <t>5BHK Independent House in Gachibowli, Hyderabad</t>
  </si>
  <si>
    <t>Gachibowli</t>
  </si>
  <si>
    <t>Studio / PG Room in Gachibowli, Hyderabad</t>
  </si>
  <si>
    <t>2BHK Independent House in Kukatpally, Hyderabad</t>
  </si>
  <si>
    <t>Kukatpally</t>
  </si>
  <si>
    <t>4BHK Apartment in C-Scheme, Jaipur</t>
  </si>
  <si>
    <t>Jaipur</t>
  </si>
  <si>
    <t>C-Scheme</t>
  </si>
  <si>
    <t>3BHK Apartment in Mansarovar, Jaipur</t>
  </si>
  <si>
    <t>Mansarovar</t>
  </si>
  <si>
    <t>3BHK Apartment in Vaishali Nagar, Jaipur</t>
  </si>
  <si>
    <t>Vaishali Nagar</t>
  </si>
  <si>
    <t>3BHK Independent House in Vaishali Nagar, Jaipur</t>
  </si>
  <si>
    <t>2BHK Independent House in Vaishali Nagar, Jaipur</t>
  </si>
  <si>
    <t>1BHK Apartment in Hazratganj, Lucknow</t>
  </si>
  <si>
    <t>Lucknow</t>
  </si>
  <si>
    <t>Hazratganj</t>
  </si>
  <si>
    <t>4BHK Independent House in Indira Nagar, Lucknow</t>
  </si>
  <si>
    <t>Indira Nagar</t>
  </si>
  <si>
    <t>3BHK Apartment in Aliganj, Lucknow</t>
  </si>
  <si>
    <t>Aliganj</t>
  </si>
  <si>
    <t>1BHK Apartment in Aliganj, Lucknow</t>
  </si>
  <si>
    <t>4BHK Apartment in Hazratganj, Lucknow</t>
  </si>
  <si>
    <t>rent_band</t>
  </si>
  <si>
    <t>demand_flag</t>
  </si>
  <si>
    <t>City</t>
  </si>
  <si>
    <t>Properties</t>
  </si>
  <si>
    <t>AVG_RENT</t>
  </si>
  <si>
    <t>Total_inquires</t>
  </si>
  <si>
    <t>Vacant</t>
  </si>
  <si>
    <t>Vacancy %</t>
  </si>
  <si>
    <t>listing_date</t>
  </si>
  <si>
    <t>price_check</t>
  </si>
  <si>
    <t>rent_per_inquiry</t>
  </si>
  <si>
    <t>Row Labels</t>
  </si>
  <si>
    <t>Grand Total</t>
  </si>
  <si>
    <t>Column Labels</t>
  </si>
  <si>
    <t>Sum of rent</t>
  </si>
  <si>
    <t>1: Average rent by city and property type</t>
  </si>
  <si>
    <t>Count of property_id</t>
  </si>
  <si>
    <t>May</t>
  </si>
  <si>
    <t>Jun</t>
  </si>
  <si>
    <t>Jul</t>
  </si>
  <si>
    <t>Aug</t>
  </si>
  <si>
    <t>Sep</t>
  </si>
  <si>
    <t>Oct</t>
  </si>
  <si>
    <t>Sum of inquiry_count</t>
  </si>
  <si>
    <t>2: Count of properties by city and status</t>
  </si>
  <si>
    <t>3: Inquiries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</si>
</sst>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than Hunt" refreshedDate="46323.097104629633" createdVersion="8" refreshedVersion="8" minRefreshableVersion="3" recordCount="60" xr:uid="{F08BD929-E190-4895-AE1A-11DE9D0282DF}">
  <cacheSource type="worksheet">
    <worksheetSource ref="A1:U61" sheet="Data"/>
  </cacheSource>
  <cacheFields count="23">
    <cacheField name="property_id" numFmtId="0">
      <sharedItems containsSemiMixedTypes="0" containsString="0" containsNumber="1" containsInteger="1" minValue="1" maxValue="60"/>
    </cacheField>
    <cacheField name="title" numFmtId="0">
      <sharedItems/>
    </cacheField>
    <cacheField name="city" numFmtId="0">
      <sharedItems count="12">
        <s v="Chandigarh"/>
        <s v="Mohali"/>
        <s v="Panchkula"/>
        <s v="Delhi"/>
        <s v="Gurugram"/>
        <s v="Noida"/>
        <s v="Mumbai"/>
        <s v="Pune"/>
        <s v="Bengaluru"/>
        <s v="Hyderabad"/>
        <s v="Jaipur"/>
        <s v="Lucknow"/>
      </sharedItems>
    </cacheField>
    <cacheField name="locality" numFmtId="0">
      <sharedItems/>
    </cacheField>
    <cacheField name="property_type" numFmtId="0">
      <sharedItems count="4">
        <s v="Apartment"/>
        <s v="Villa"/>
        <s v="Independent House"/>
        <s v="PG/Studio"/>
      </sharedItems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5"/>
    </cacheField>
    <cacheField name="area_sqft" numFmtId="0">
      <sharedItems containsSemiMixedTypes="0" containsString="0" containsNumber="1" containsInteger="1" minValue="132" maxValue="2224"/>
    </cacheField>
    <cacheField name="furnished" numFmtId="0">
      <sharedItems/>
    </cacheField>
    <cacheField name="floor" numFmtId="0">
      <sharedItems containsSemiMixedTypes="0" containsString="0" containsNumber="1" containsInteger="1" minValue="0" maxValue="20"/>
    </cacheField>
    <cacheField name="amenity_count" numFmtId="0">
      <sharedItems containsSemiMixedTypes="0" containsString="0" containsNumber="1" containsInteger="1" minValue="0" maxValue="10"/>
    </cacheField>
    <cacheField name="rent" numFmtId="0">
      <sharedItems containsSemiMixedTypes="0" containsString="0" containsNumber="1" containsInteger="1" minValue="3000" maxValue="285500"/>
    </cacheField>
    <cacheField name="status" numFmtId="0">
      <sharedItems count="2">
        <s v="Available"/>
        <s v="Rented"/>
      </sharedItems>
    </cacheField>
    <cacheField name="owner_name" numFmtId="0">
      <sharedItems/>
    </cacheField>
    <cacheField name="listing_date" numFmtId="14">
      <sharedItems containsSemiMixedTypes="0" containsNonDate="0" containsDate="1" containsString="0" minDate="2026-05-10T00:00:00" maxDate="2026-10-21T00:00:00" count="50">
        <d v="2026-10-13T00:00:00"/>
        <d v="2026-10-11T00:00:00"/>
        <d v="2026-07-27T00:00:00"/>
        <d v="2026-07-09T00:00:00"/>
        <d v="2026-09-14T00:00:00"/>
        <d v="2026-06-12T00:00:00"/>
        <d v="2026-08-21T00:00:00"/>
        <d v="2026-08-30T00:00:00"/>
        <d v="2026-10-06T00:00:00"/>
        <d v="2026-07-03T00:00:00"/>
        <d v="2026-07-19T00:00:00"/>
        <d v="2026-10-18T00:00:00"/>
        <d v="2026-08-09T00:00:00"/>
        <d v="2026-10-14T00:00:00"/>
        <d v="2026-06-16T00:00:00"/>
        <d v="2026-07-02T00:00:00"/>
        <d v="2026-07-12T00:00:00"/>
        <d v="2026-05-31T00:00:00"/>
        <d v="2026-05-18T00:00:00"/>
        <d v="2026-07-13T00:00:00"/>
        <d v="2026-08-14T00:00:00"/>
        <d v="2026-09-04T00:00:00"/>
        <d v="2026-06-20T00:00:00"/>
        <d v="2026-09-20T00:00:00"/>
        <d v="2026-07-10T00:00:00"/>
        <d v="2026-06-15T00:00:00"/>
        <d v="2026-09-01T00:00:00"/>
        <d v="2026-06-22T00:00:00"/>
        <d v="2026-06-24T00:00:00"/>
        <d v="2026-09-10T00:00:00"/>
        <d v="2026-06-05T00:00:00"/>
        <d v="2026-08-01T00:00:00"/>
        <d v="2026-07-15T00:00:00"/>
        <d v="2026-05-10T00:00:00"/>
        <d v="2026-07-31T00:00:00"/>
        <d v="2026-07-16T00:00:00"/>
        <d v="2026-05-16T00:00:00"/>
        <d v="2026-09-09T00:00:00"/>
        <d v="2026-08-02T00:00:00"/>
        <d v="2026-07-20T00:00:00"/>
        <d v="2026-10-09T00:00:00"/>
        <d v="2026-05-17T00:00:00"/>
        <d v="2026-09-12T00:00:00"/>
        <d v="2026-08-23T00:00:00"/>
        <d v="2026-07-18T00:00:00"/>
        <d v="2026-08-03T00:00:00"/>
        <d v="2026-06-10T00:00:00"/>
        <d v="2026-09-27T00:00:00"/>
        <d v="2026-08-12T00:00:00"/>
        <d v="2026-10-20T00:00:00"/>
      </sharedItems>
      <fieldGroup par="22"/>
    </cacheField>
    <cacheField name="inquiry_count" numFmtId="0">
      <sharedItems containsSemiMixedTypes="0" containsString="0" containsNumber="1" containsInteger="1" minValue="0" maxValue="4"/>
    </cacheField>
    <cacheField name="rent_per_sqft" numFmtId="0">
      <sharedItems containsSemiMixedTypes="0" containsString="0" containsNumber="1" minValue="15.15" maxValue="128.37"/>
    </cacheField>
    <cacheField name="rent_band" numFmtId="0">
      <sharedItems/>
    </cacheField>
    <cacheField name="demand_flag" numFmtId="0">
      <sharedItems/>
    </cacheField>
    <cacheField name="price_check" numFmtId="0">
      <sharedItems/>
    </cacheField>
    <cacheField name="rent_per_inquiry" numFmtId="0">
      <sharedItems containsMixedTypes="1" containsNumber="1" containsInteger="1" minValue="2750" maxValue="109500"/>
    </cacheField>
    <cacheField name="Days (listing_date)" numFmtId="0" databaseField="0">
      <fieldGroup base="14">
        <rangePr groupBy="days" startDate="2026-05-10T00:00:00" endDate="2026-10-21T00:00:00"/>
        <groupItems count="368">
          <s v="&lt;10-05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0-2026"/>
        </groupItems>
      </fieldGroup>
    </cacheField>
    <cacheField name="Months (listing_date)" numFmtId="0" databaseField="0">
      <fieldGroup base="14">
        <rangePr groupBy="months" startDate="2026-05-10T00:00:00" endDate="2026-10-21T00:00:00"/>
        <groupItems count="14">
          <s v="&lt;10-05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0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3BHK Apartment in Sector 35, Chandigarh"/>
    <x v="0"/>
    <s v="Sector 35"/>
    <x v="0"/>
    <n v="3"/>
    <n v="3"/>
    <n v="1143"/>
    <s v="Semi-Furnished"/>
    <n v="3"/>
    <n v="8"/>
    <n v="41500"/>
    <x v="0"/>
    <s v="Rajesh Kumar"/>
    <x v="0"/>
    <n v="2"/>
    <n v="36.31"/>
    <s v="Mid-Range"/>
    <s v="Normal"/>
    <s v="OK"/>
    <n v="20750"/>
  </r>
  <r>
    <n v="2"/>
    <s v="4BHK Villa in Manimajra, Chandigarh"/>
    <x v="0"/>
    <s v="Manimajra"/>
    <x v="1"/>
    <n v="4"/>
    <n v="4"/>
    <n v="2020"/>
    <s v="Semi-Furnished"/>
    <n v="1"/>
    <n v="9"/>
    <n v="109500"/>
    <x v="0"/>
    <s v="Rajesh Kumar"/>
    <x v="1"/>
    <n v="0"/>
    <n v="54.21"/>
    <s v="Premium"/>
    <s v="No Interest"/>
    <s v="Review Price"/>
    <s v="No inquiries"/>
  </r>
  <r>
    <n v="3"/>
    <s v="2BHK Apartment in Manimajra, Chandigarh"/>
    <x v="0"/>
    <s v="Manimajra"/>
    <x v="0"/>
    <n v="2"/>
    <n v="1"/>
    <n v="646"/>
    <s v="Furnished"/>
    <n v="20"/>
    <n v="8"/>
    <n v="25000"/>
    <x v="1"/>
    <s v="Rajesh Kumar"/>
    <x v="2"/>
    <n v="1"/>
    <n v="38.700000000000003"/>
    <s v="Mid-Range"/>
    <s v="Normal"/>
    <s v="OK"/>
    <n v="25000"/>
  </r>
  <r>
    <n v="4"/>
    <s v="3BHK Independent House in Sector 35, Chandigarh"/>
    <x v="0"/>
    <s v="Sector 35"/>
    <x v="2"/>
    <n v="3"/>
    <n v="3"/>
    <n v="1479"/>
    <s v="Furnished"/>
    <n v="2"/>
    <n v="6"/>
    <n v="61000"/>
    <x v="1"/>
    <s v="Rajesh Kumar"/>
    <x v="3"/>
    <n v="1"/>
    <n v="41.24"/>
    <s v="Premium"/>
    <s v="Normal"/>
    <s v="OK"/>
    <n v="61000"/>
  </r>
  <r>
    <n v="5"/>
    <s v="Studio / PG Room in Manimajra, Chandigarh"/>
    <x v="0"/>
    <s v="Manimajra"/>
    <x v="3"/>
    <n v="1"/>
    <n v="1"/>
    <n v="220"/>
    <s v="Unfurnished"/>
    <n v="0"/>
    <n v="5"/>
    <n v="5500"/>
    <x v="1"/>
    <s v="Rajesh Kumar"/>
    <x v="4"/>
    <n v="0"/>
    <n v="25"/>
    <s v="Affordable"/>
    <s v="No Interest"/>
    <s v="OK"/>
    <s v="No inquiries"/>
  </r>
  <r>
    <n v="6"/>
    <s v="4BHK Apartment in Sector 71, Mohali"/>
    <x v="1"/>
    <s v="Sector 71"/>
    <x v="0"/>
    <n v="4"/>
    <n v="4"/>
    <n v="1388"/>
    <s v="Semi-Furnished"/>
    <n v="1"/>
    <n v="10"/>
    <n v="36500"/>
    <x v="1"/>
    <s v="Gurpreet Singh"/>
    <x v="5"/>
    <n v="1"/>
    <n v="26.3"/>
    <s v="Mid-Range"/>
    <s v="Normal"/>
    <s v="OK"/>
    <n v="36500"/>
  </r>
  <r>
    <n v="7"/>
    <s v="Studio / PG Room in Sector 71, Mohali"/>
    <x v="1"/>
    <s v="Sector 71"/>
    <x v="3"/>
    <n v="1"/>
    <n v="1"/>
    <n v="135"/>
    <s v="Unfurnished"/>
    <n v="1"/>
    <n v="6"/>
    <n v="3000"/>
    <x v="1"/>
    <s v="Gurpreet Singh"/>
    <x v="6"/>
    <n v="1"/>
    <n v="22.22"/>
    <s v="Affordable"/>
    <s v="Normal"/>
    <s v="OK"/>
    <n v="3000"/>
  </r>
  <r>
    <n v="8"/>
    <s v="1BHK Apartment in Sector 70, Mohali"/>
    <x v="1"/>
    <s v="Sector 70"/>
    <x v="0"/>
    <n v="1"/>
    <n v="1"/>
    <n v="358"/>
    <s v="Unfurnished"/>
    <n v="9"/>
    <n v="2"/>
    <n v="8000"/>
    <x v="0"/>
    <s v="Gurpreet Singh"/>
    <x v="7"/>
    <n v="2"/>
    <n v="22.35"/>
    <s v="Affordable"/>
    <s v="Normal"/>
    <s v="OK"/>
    <n v="4000"/>
  </r>
  <r>
    <n v="9"/>
    <s v="3BHK Apartment in Phase 5, Mohali"/>
    <x v="1"/>
    <s v="Phase 5"/>
    <x v="0"/>
    <n v="3"/>
    <n v="3"/>
    <n v="1209"/>
    <s v="Furnished"/>
    <n v="15"/>
    <n v="1"/>
    <n v="33500"/>
    <x v="0"/>
    <s v="Gurpreet Singh"/>
    <x v="8"/>
    <n v="1"/>
    <n v="27.71"/>
    <s v="Mid-Range"/>
    <s v="Normal"/>
    <s v="OK"/>
    <n v="33500"/>
  </r>
  <r>
    <n v="10"/>
    <s v="3BHK Apartment in Phase 5, Mohali"/>
    <x v="1"/>
    <s v="Phase 5"/>
    <x v="0"/>
    <n v="3"/>
    <n v="3"/>
    <n v="1233"/>
    <s v="Unfurnished"/>
    <n v="8"/>
    <n v="8"/>
    <n v="30500"/>
    <x v="0"/>
    <s v="Gurpreet Singh"/>
    <x v="9"/>
    <n v="0"/>
    <n v="24.74"/>
    <s v="Mid-Range"/>
    <s v="No Interest"/>
    <s v="Review Price"/>
    <s v="No inquiries"/>
  </r>
  <r>
    <n v="11"/>
    <s v="Studio / PG Room in Sector 15, Panchkula"/>
    <x v="2"/>
    <s v="Sector 15"/>
    <x v="3"/>
    <n v="1"/>
    <n v="1"/>
    <n v="190"/>
    <s v="Furnished"/>
    <n v="1"/>
    <n v="9"/>
    <n v="5500"/>
    <x v="0"/>
    <s v="Sunita Verma"/>
    <x v="10"/>
    <n v="2"/>
    <n v="28.95"/>
    <s v="Affordable"/>
    <s v="Normal"/>
    <s v="OK"/>
    <n v="2750"/>
  </r>
  <r>
    <n v="12"/>
    <s v="4BHK Apartment in Sector 15, Panchkula"/>
    <x v="2"/>
    <s v="Sector 15"/>
    <x v="0"/>
    <n v="4"/>
    <n v="3"/>
    <n v="1372"/>
    <s v="Furnished"/>
    <n v="3"/>
    <n v="8"/>
    <n v="34500"/>
    <x v="0"/>
    <s v="Sunita Verma"/>
    <x v="11"/>
    <n v="2"/>
    <n v="25.15"/>
    <s v="Mid-Range"/>
    <s v="Normal"/>
    <s v="OK"/>
    <n v="17250"/>
  </r>
  <r>
    <n v="13"/>
    <s v="Studio / PG Room in Sector 7, Panchkula"/>
    <x v="2"/>
    <s v="Sector 7"/>
    <x v="3"/>
    <n v="1"/>
    <n v="1"/>
    <n v="290"/>
    <s v="Unfurnished"/>
    <n v="0"/>
    <n v="6"/>
    <n v="6000"/>
    <x v="0"/>
    <s v="Sunita Verma"/>
    <x v="12"/>
    <n v="0"/>
    <n v="20.69"/>
    <s v="Affordable"/>
    <s v="No Interest"/>
    <s v="Review Price"/>
    <s v="No inquiries"/>
  </r>
  <r>
    <n v="14"/>
    <s v="4BHK Apartment in Sector 20, Panchkula"/>
    <x v="2"/>
    <s v="Sector 20"/>
    <x v="0"/>
    <n v="4"/>
    <n v="4"/>
    <n v="1344"/>
    <s v="Semi-Furnished"/>
    <n v="7"/>
    <n v="2"/>
    <n v="30000"/>
    <x v="1"/>
    <s v="Sunita Verma"/>
    <x v="13"/>
    <n v="1"/>
    <n v="22.32"/>
    <s v="Mid-Range"/>
    <s v="Normal"/>
    <s v="OK"/>
    <n v="30000"/>
  </r>
  <r>
    <n v="15"/>
    <s v="Studio / PG Room in Sector 20, Panchkula"/>
    <x v="2"/>
    <s v="Sector 20"/>
    <x v="3"/>
    <n v="1"/>
    <n v="1"/>
    <n v="247"/>
    <s v="Unfurnished"/>
    <n v="1"/>
    <n v="8"/>
    <n v="5000"/>
    <x v="1"/>
    <s v="Sunita Verma"/>
    <x v="14"/>
    <n v="1"/>
    <n v="20.239999999999998"/>
    <s v="Affordable"/>
    <s v="Normal"/>
    <s v="OK"/>
    <n v="5000"/>
  </r>
  <r>
    <n v="16"/>
    <s v="2BHK Apartment in Janakpuri, Delhi"/>
    <x v="3"/>
    <s v="Janakpuri"/>
    <x v="0"/>
    <n v="2"/>
    <n v="2"/>
    <n v="712"/>
    <s v="Semi-Furnished"/>
    <n v="8"/>
    <n v="4"/>
    <n v="30000"/>
    <x v="0"/>
    <s v="Amit Agarwal"/>
    <x v="12"/>
    <n v="1"/>
    <n v="42.13"/>
    <s v="Mid-Range"/>
    <s v="Normal"/>
    <s v="OK"/>
    <n v="30000"/>
  </r>
  <r>
    <n v="17"/>
    <s v="4BHK Apartment in Lajpat Nagar, Delhi"/>
    <x v="3"/>
    <s v="Lajpat Nagar"/>
    <x v="0"/>
    <n v="4"/>
    <n v="4"/>
    <n v="1392"/>
    <s v="Unfurnished"/>
    <n v="7"/>
    <n v="6"/>
    <n v="54500"/>
    <x v="1"/>
    <s v="Amit Agarwal"/>
    <x v="5"/>
    <n v="4"/>
    <n v="39.15"/>
    <s v="Premium"/>
    <s v="High Demand"/>
    <s v="OK"/>
    <n v="13625"/>
  </r>
  <r>
    <n v="18"/>
    <s v="1BHK Apartment in Rohini, Delhi"/>
    <x v="3"/>
    <s v="Rohini"/>
    <x v="0"/>
    <n v="1"/>
    <n v="1"/>
    <n v="328"/>
    <s v="Furnished"/>
    <n v="1"/>
    <n v="1"/>
    <n v="15000"/>
    <x v="0"/>
    <s v="Amit Agarwal"/>
    <x v="0"/>
    <n v="1"/>
    <n v="45.73"/>
    <s v="Affordable"/>
    <s v="Normal"/>
    <s v="OK"/>
    <n v="15000"/>
  </r>
  <r>
    <n v="19"/>
    <s v="4BHK Apartment in Saket, Delhi"/>
    <x v="3"/>
    <s v="Saket"/>
    <x v="0"/>
    <n v="4"/>
    <n v="4"/>
    <n v="1416"/>
    <s v="Furnished"/>
    <n v="15"/>
    <n v="6"/>
    <n v="75500"/>
    <x v="0"/>
    <s v="Amit Agarwal"/>
    <x v="15"/>
    <n v="0"/>
    <n v="53.32"/>
    <s v="Premium"/>
    <s v="No Interest"/>
    <s v="Review Price"/>
    <s v="No inquiries"/>
  </r>
  <r>
    <n v="20"/>
    <s v="Studio / PG Room in Rohini, Delhi"/>
    <x v="3"/>
    <s v="Rohini"/>
    <x v="3"/>
    <n v="1"/>
    <n v="1"/>
    <n v="271"/>
    <s v="Furnished"/>
    <n v="3"/>
    <n v="3"/>
    <n v="11000"/>
    <x v="0"/>
    <s v="Amit Agarwal"/>
    <x v="16"/>
    <n v="0"/>
    <n v="40.590000000000003"/>
    <s v="Affordable"/>
    <s v="No Interest"/>
    <s v="Review Price"/>
    <s v="No inquiries"/>
  </r>
  <r>
    <n v="21"/>
    <s v="2BHK Apartment in Sohna Road, Gurugram"/>
    <x v="4"/>
    <s v="Sohna Road"/>
    <x v="0"/>
    <n v="2"/>
    <n v="2"/>
    <n v="648"/>
    <s v="Semi-Furnished"/>
    <n v="10"/>
    <n v="4"/>
    <n v="28500"/>
    <x v="1"/>
    <s v="Harpreet Kaur"/>
    <x v="17"/>
    <n v="1"/>
    <n v="43.98"/>
    <s v="Mid-Range"/>
    <s v="Normal"/>
    <s v="OK"/>
    <n v="28500"/>
  </r>
  <r>
    <n v="22"/>
    <s v="Studio / PG Room in DLF Phase 3, Gurugram"/>
    <x v="4"/>
    <s v="DLF Phase 3"/>
    <x v="3"/>
    <n v="1"/>
    <n v="1"/>
    <n v="132"/>
    <s v="Unfurnished"/>
    <n v="1"/>
    <n v="9"/>
    <n v="5000"/>
    <x v="0"/>
    <s v="Harpreet Kaur"/>
    <x v="18"/>
    <n v="1"/>
    <n v="37.880000000000003"/>
    <s v="Affordable"/>
    <s v="Normal"/>
    <s v="OK"/>
    <n v="5000"/>
  </r>
  <r>
    <n v="23"/>
    <s v="3BHK Apartment in Golf Course Road, Gurugram"/>
    <x v="4"/>
    <s v="Golf Course Road"/>
    <x v="0"/>
    <n v="3"/>
    <n v="3"/>
    <n v="1272"/>
    <s v="Furnished"/>
    <n v="16"/>
    <n v="7"/>
    <n v="71000"/>
    <x v="0"/>
    <s v="Harpreet Kaur"/>
    <x v="19"/>
    <n v="0"/>
    <n v="55.82"/>
    <s v="Premium"/>
    <s v="No Interest"/>
    <s v="Review Price"/>
    <s v="No inquiries"/>
  </r>
  <r>
    <n v="24"/>
    <s v="Studio / PG Room in Sector 56, Gurugram"/>
    <x v="4"/>
    <s v="Sector 56"/>
    <x v="3"/>
    <n v="1"/>
    <n v="1"/>
    <n v="294"/>
    <s v="Semi-Furnished"/>
    <n v="1"/>
    <n v="5"/>
    <n v="11000"/>
    <x v="1"/>
    <s v="Harpreet Kaur"/>
    <x v="20"/>
    <n v="1"/>
    <n v="37.409999999999997"/>
    <s v="Affordable"/>
    <s v="Normal"/>
    <s v="OK"/>
    <n v="11000"/>
  </r>
  <r>
    <n v="25"/>
    <s v="4BHK Apartment in Sector 56, Gurugram"/>
    <x v="4"/>
    <s v="Sector 56"/>
    <x v="0"/>
    <n v="4"/>
    <n v="3"/>
    <n v="1480"/>
    <s v="Semi-Furnished"/>
    <n v="19"/>
    <n v="1"/>
    <n v="57500"/>
    <x v="0"/>
    <s v="Harpreet Kaur"/>
    <x v="21"/>
    <n v="0"/>
    <n v="38.85"/>
    <s v="Premium"/>
    <s v="No Interest"/>
    <s v="Review Price"/>
    <s v="No inquiries"/>
  </r>
  <r>
    <n v="26"/>
    <s v="1BHK Apartment in Sector 137, Noida"/>
    <x v="5"/>
    <s v="Sector 137"/>
    <x v="0"/>
    <n v="1"/>
    <n v="1"/>
    <n v="337"/>
    <s v="Furnished"/>
    <n v="15"/>
    <n v="10"/>
    <n v="12500"/>
    <x v="1"/>
    <s v="Vikram Malhotra"/>
    <x v="22"/>
    <n v="1"/>
    <n v="37.090000000000003"/>
    <s v="Affordable"/>
    <s v="Normal"/>
    <s v="OK"/>
    <n v="12500"/>
  </r>
  <r>
    <n v="27"/>
    <s v="2BHK Independent House in Sector 137, Noida"/>
    <x v="5"/>
    <s v="Sector 137"/>
    <x v="2"/>
    <n v="2"/>
    <n v="2"/>
    <n v="990"/>
    <s v="Unfurnished"/>
    <n v="2"/>
    <n v="2"/>
    <n v="27000"/>
    <x v="0"/>
    <s v="Vikram Malhotra"/>
    <x v="23"/>
    <n v="0"/>
    <n v="27.27"/>
    <s v="Mid-Range"/>
    <s v="No Interest"/>
    <s v="Review Price"/>
    <s v="No inquiries"/>
  </r>
  <r>
    <n v="28"/>
    <s v="3BHK Apartment in Sector 18, Noida"/>
    <x v="5"/>
    <s v="Sector 18"/>
    <x v="0"/>
    <n v="3"/>
    <n v="3"/>
    <n v="993"/>
    <s v="Semi-Furnished"/>
    <n v="1"/>
    <n v="7"/>
    <n v="30000"/>
    <x v="0"/>
    <s v="Vikram Malhotra"/>
    <x v="24"/>
    <n v="1"/>
    <n v="30.21"/>
    <s v="Mid-Range"/>
    <s v="Normal"/>
    <s v="OK"/>
    <n v="30000"/>
  </r>
  <r>
    <n v="29"/>
    <s v="3BHK Apartment in Sector 75, Noida"/>
    <x v="5"/>
    <s v="Sector 75"/>
    <x v="0"/>
    <n v="3"/>
    <n v="3"/>
    <n v="1218"/>
    <s v="Semi-Furnished"/>
    <n v="19"/>
    <n v="3"/>
    <n v="41000"/>
    <x v="0"/>
    <s v="Vikram Malhotra"/>
    <x v="25"/>
    <n v="1"/>
    <n v="33.659999999999997"/>
    <s v="Mid-Range"/>
    <s v="Normal"/>
    <s v="OK"/>
    <n v="41000"/>
  </r>
  <r>
    <n v="30"/>
    <s v="3BHK Villa in Sector 62, Noida"/>
    <x v="5"/>
    <s v="Sector 62"/>
    <x v="1"/>
    <n v="3"/>
    <n v="3"/>
    <n v="1356"/>
    <s v="Semi-Furnished"/>
    <n v="0"/>
    <n v="5"/>
    <n v="53000"/>
    <x v="1"/>
    <s v="Vikram Malhotra"/>
    <x v="26"/>
    <n v="0"/>
    <n v="39.090000000000003"/>
    <s v="Premium"/>
    <s v="No Interest"/>
    <s v="OK"/>
    <s v="No inquiries"/>
  </r>
  <r>
    <n v="31"/>
    <s v="4BHK Villa in Powai, Mumbai"/>
    <x v="6"/>
    <s v="Powai"/>
    <x v="1"/>
    <n v="4"/>
    <n v="3"/>
    <n v="2224"/>
    <s v="Furnished"/>
    <n v="2"/>
    <n v="2"/>
    <n v="285500"/>
    <x v="0"/>
    <s v="Neha Gupta"/>
    <x v="27"/>
    <n v="0"/>
    <n v="128.37"/>
    <s v="Premium"/>
    <s v="No Interest"/>
    <s v="Review Price"/>
    <s v="No inquiries"/>
  </r>
  <r>
    <n v="32"/>
    <s v="4BHK Apartment in Andheri West, Mumbai"/>
    <x v="6"/>
    <s v="Andheri West"/>
    <x v="0"/>
    <n v="4"/>
    <n v="3"/>
    <n v="1424"/>
    <s v="Unfurnished"/>
    <n v="2"/>
    <n v="5"/>
    <n v="93500"/>
    <x v="0"/>
    <s v="Neha Gupta"/>
    <x v="7"/>
    <n v="0"/>
    <n v="65.66"/>
    <s v="Premium"/>
    <s v="No Interest"/>
    <s v="Review Price"/>
    <s v="No inquiries"/>
  </r>
  <r>
    <n v="33"/>
    <s v="Studio / PG Room in Borivali, Mumbai"/>
    <x v="6"/>
    <s v="Borivali"/>
    <x v="3"/>
    <n v="1"/>
    <n v="1"/>
    <n v="195"/>
    <s v="Unfurnished"/>
    <n v="2"/>
    <n v="5"/>
    <n v="12500"/>
    <x v="0"/>
    <s v="Neha Gupta"/>
    <x v="28"/>
    <n v="0"/>
    <n v="64.099999999999994"/>
    <s v="Affordable"/>
    <s v="No Interest"/>
    <s v="Review Price"/>
    <s v="No inquiries"/>
  </r>
  <r>
    <n v="34"/>
    <s v="3BHK Apartment in Andheri West, Mumbai"/>
    <x v="6"/>
    <s v="Andheri West"/>
    <x v="0"/>
    <n v="3"/>
    <n v="3"/>
    <n v="1284"/>
    <s v="Furnished"/>
    <n v="11"/>
    <n v="10"/>
    <n v="109500"/>
    <x v="1"/>
    <s v="Neha Gupta"/>
    <x v="29"/>
    <n v="1"/>
    <n v="85.28"/>
    <s v="Premium"/>
    <s v="Normal"/>
    <s v="OK"/>
    <n v="109500"/>
  </r>
  <r>
    <n v="35"/>
    <s v="4BHK Apartment in Powai, Mumbai"/>
    <x v="6"/>
    <s v="Powai"/>
    <x v="0"/>
    <n v="4"/>
    <n v="4"/>
    <n v="1236"/>
    <s v="Furnished"/>
    <n v="3"/>
    <n v="7"/>
    <n v="115000"/>
    <x v="1"/>
    <s v="Neha Gupta"/>
    <x v="28"/>
    <n v="0"/>
    <n v="93.04"/>
    <s v="Premium"/>
    <s v="No Interest"/>
    <s v="OK"/>
    <s v="No inquiries"/>
  </r>
  <r>
    <n v="36"/>
    <s v="2BHK Apartment in Wakad, Pune"/>
    <x v="7"/>
    <s v="Wakad"/>
    <x v="0"/>
    <n v="2"/>
    <n v="2"/>
    <n v="758"/>
    <s v="Semi-Furnished"/>
    <n v="11"/>
    <n v="4"/>
    <n v="26500"/>
    <x v="0"/>
    <s v="Suresh Reddy"/>
    <x v="30"/>
    <n v="0"/>
    <n v="34.96"/>
    <s v="Mid-Range"/>
    <s v="No Interest"/>
    <s v="Review Price"/>
    <s v="No inquiries"/>
  </r>
  <r>
    <n v="37"/>
    <s v="3BHK Apartment in Baner, Pune"/>
    <x v="7"/>
    <s v="Baner"/>
    <x v="0"/>
    <n v="3"/>
    <n v="2"/>
    <n v="1281"/>
    <s v="Semi-Furnished"/>
    <n v="14"/>
    <n v="8"/>
    <n v="42000"/>
    <x v="1"/>
    <s v="Suresh Reddy"/>
    <x v="31"/>
    <n v="0"/>
    <n v="32.79"/>
    <s v="Mid-Range"/>
    <s v="No Interest"/>
    <s v="OK"/>
    <s v="No inquiries"/>
  </r>
  <r>
    <n v="38"/>
    <s v="4BHK Independent House in Hinjewadi, Pune"/>
    <x v="7"/>
    <s v="Hinjewadi"/>
    <x v="2"/>
    <n v="4"/>
    <n v="4"/>
    <n v="1504"/>
    <s v="Semi-Furnished"/>
    <n v="1"/>
    <n v="9"/>
    <n v="55500"/>
    <x v="0"/>
    <s v="Suresh Reddy"/>
    <x v="26"/>
    <n v="1"/>
    <n v="36.9"/>
    <s v="Premium"/>
    <s v="Normal"/>
    <s v="Review Price"/>
    <n v="55500"/>
  </r>
  <r>
    <n v="39"/>
    <s v="4BHK Apartment in Baner, Pune"/>
    <x v="7"/>
    <s v="Baner"/>
    <x v="0"/>
    <n v="4"/>
    <n v="3"/>
    <n v="1252"/>
    <s v="Unfurnished"/>
    <n v="6"/>
    <n v="1"/>
    <n v="36000"/>
    <x v="0"/>
    <s v="Suresh Reddy"/>
    <x v="32"/>
    <n v="2"/>
    <n v="28.75"/>
    <s v="Mid-Range"/>
    <s v="Normal"/>
    <s v="OK"/>
    <n v="18000"/>
  </r>
  <r>
    <n v="40"/>
    <s v="2BHK Apartment in Kothrud, Pune"/>
    <x v="7"/>
    <s v="Kothrud"/>
    <x v="0"/>
    <n v="2"/>
    <n v="2"/>
    <n v="610"/>
    <s v="Unfurnished"/>
    <n v="11"/>
    <n v="2"/>
    <n v="15500"/>
    <x v="1"/>
    <s v="Suresh Reddy"/>
    <x v="30"/>
    <n v="0"/>
    <n v="25.41"/>
    <s v="Affordable"/>
    <s v="No Interest"/>
    <s v="OK"/>
    <s v="No inquiries"/>
  </r>
  <r>
    <n v="41"/>
    <s v="3BHK Apartment in Koramangala, Bengaluru"/>
    <x v="8"/>
    <s v="Koramangala"/>
    <x v="0"/>
    <n v="3"/>
    <n v="3"/>
    <n v="1104"/>
    <s v="Unfurnished"/>
    <n v="1"/>
    <n v="10"/>
    <n v="43500"/>
    <x v="0"/>
    <s v="Anil Joshi"/>
    <x v="33"/>
    <n v="0"/>
    <n v="39.4"/>
    <s v="Mid-Range"/>
    <s v="No Interest"/>
    <s v="Review Price"/>
    <s v="No inquiries"/>
  </r>
  <r>
    <n v="42"/>
    <s v="4BHK Independent House in Whitefield, Bengaluru"/>
    <x v="8"/>
    <s v="Whitefield"/>
    <x v="2"/>
    <n v="4"/>
    <n v="4"/>
    <n v="1692"/>
    <s v="Furnished"/>
    <n v="1"/>
    <n v="9"/>
    <n v="93000"/>
    <x v="0"/>
    <s v="Anil Joshi"/>
    <x v="34"/>
    <n v="2"/>
    <n v="54.96"/>
    <s v="Premium"/>
    <s v="Normal"/>
    <s v="Review Price"/>
    <n v="46500"/>
  </r>
  <r>
    <n v="43"/>
    <s v="3BHK Apartment in HSR Layout, Bengaluru"/>
    <x v="8"/>
    <s v="HSR Layout"/>
    <x v="0"/>
    <n v="3"/>
    <n v="2"/>
    <n v="1140"/>
    <s v="Unfurnished"/>
    <n v="19"/>
    <n v="4"/>
    <n v="48500"/>
    <x v="0"/>
    <s v="Anil Joshi"/>
    <x v="2"/>
    <n v="2"/>
    <n v="42.54"/>
    <s v="Premium"/>
    <s v="Normal"/>
    <s v="Review Price"/>
    <n v="24250"/>
  </r>
  <r>
    <n v="44"/>
    <s v="1BHK Apartment in Whitefield, Bengaluru"/>
    <x v="8"/>
    <s v="Whitefield"/>
    <x v="0"/>
    <n v="1"/>
    <n v="1"/>
    <n v="401"/>
    <s v="Furnished"/>
    <n v="7"/>
    <n v="7"/>
    <n v="18000"/>
    <x v="0"/>
    <s v="Anil Joshi"/>
    <x v="35"/>
    <n v="0"/>
    <n v="44.89"/>
    <s v="Affordable"/>
    <s v="No Interest"/>
    <s v="Review Price"/>
    <s v="No inquiries"/>
  </r>
  <r>
    <n v="45"/>
    <s v="Studio / PG Room in Electronic City, Bengaluru"/>
    <x v="8"/>
    <s v="Electronic City"/>
    <x v="3"/>
    <n v="1"/>
    <n v="1"/>
    <n v="137"/>
    <s v="Unfurnished"/>
    <n v="1"/>
    <n v="8"/>
    <n v="5000"/>
    <x v="0"/>
    <s v="Anil Joshi"/>
    <x v="36"/>
    <n v="1"/>
    <n v="36.5"/>
    <s v="Affordable"/>
    <s v="Normal"/>
    <s v="OK"/>
    <n v="5000"/>
  </r>
  <r>
    <n v="46"/>
    <s v="4BHK Apartment in Madhapur, Hyderabad"/>
    <x v="9"/>
    <s v="Madhapur"/>
    <x v="0"/>
    <n v="4"/>
    <n v="4"/>
    <n v="1564"/>
    <s v="Semi-Furnished"/>
    <n v="15"/>
    <n v="5"/>
    <n v="46500"/>
    <x v="0"/>
    <s v="Rajesh Kumar"/>
    <x v="37"/>
    <n v="4"/>
    <n v="29.73"/>
    <s v="Premium"/>
    <s v="High Demand"/>
    <s v="Review Price"/>
    <n v="11625"/>
  </r>
  <r>
    <n v="47"/>
    <s v="1BHK Apartment in Banjara Hills, Hyderabad"/>
    <x v="9"/>
    <s v="Banjara Hills"/>
    <x v="0"/>
    <n v="1"/>
    <n v="1"/>
    <n v="398"/>
    <s v="Furnished"/>
    <n v="16"/>
    <n v="2"/>
    <n v="15000"/>
    <x v="1"/>
    <s v="Rajesh Kumar"/>
    <x v="1"/>
    <n v="2"/>
    <n v="37.69"/>
    <s v="Affordable"/>
    <s v="Normal"/>
    <s v="OK"/>
    <n v="7500"/>
  </r>
  <r>
    <n v="48"/>
    <s v="5BHK Independent House in Gachibowli, Hyderabad"/>
    <x v="9"/>
    <s v="Gachibowli"/>
    <x v="2"/>
    <n v="5"/>
    <n v="5"/>
    <n v="2025"/>
    <s v="Unfurnished"/>
    <n v="2"/>
    <n v="6"/>
    <n v="60500"/>
    <x v="0"/>
    <s v="Rajesh Kumar"/>
    <x v="38"/>
    <n v="0"/>
    <n v="29.88"/>
    <s v="Premium"/>
    <s v="No Interest"/>
    <s v="Review Price"/>
    <s v="No inquiries"/>
  </r>
  <r>
    <n v="49"/>
    <s v="Studio / PG Room in Gachibowli, Hyderabad"/>
    <x v="9"/>
    <s v="Gachibowli"/>
    <x v="3"/>
    <n v="1"/>
    <n v="1"/>
    <n v="156"/>
    <s v="Unfurnished"/>
    <n v="1"/>
    <n v="2"/>
    <n v="4000"/>
    <x v="0"/>
    <s v="Rajesh Kumar"/>
    <x v="39"/>
    <n v="0"/>
    <n v="25.64"/>
    <s v="Affordable"/>
    <s v="No Interest"/>
    <s v="Review Price"/>
    <s v="No inquiries"/>
  </r>
  <r>
    <n v="50"/>
    <s v="2BHK Independent House in Kukatpally, Hyderabad"/>
    <x v="9"/>
    <s v="Kukatpally"/>
    <x v="2"/>
    <n v="2"/>
    <n v="2"/>
    <n v="838"/>
    <s v="Semi-Furnished"/>
    <n v="2"/>
    <n v="8"/>
    <n v="32500"/>
    <x v="0"/>
    <s v="Rajesh Kumar"/>
    <x v="40"/>
    <n v="1"/>
    <n v="38.78"/>
    <s v="Mid-Range"/>
    <s v="Normal"/>
    <s v="OK"/>
    <n v="32500"/>
  </r>
  <r>
    <n v="51"/>
    <s v="4BHK Apartment in C-Scheme, Jaipur"/>
    <x v="10"/>
    <s v="C-Scheme"/>
    <x v="0"/>
    <n v="4"/>
    <n v="4"/>
    <n v="1472"/>
    <s v="Unfurnished"/>
    <n v="16"/>
    <n v="5"/>
    <n v="28500"/>
    <x v="0"/>
    <s v="Gurpreet Singh"/>
    <x v="20"/>
    <n v="0"/>
    <n v="19.36"/>
    <s v="Mid-Range"/>
    <s v="No Interest"/>
    <s v="Review Price"/>
    <s v="No inquiries"/>
  </r>
  <r>
    <n v="52"/>
    <s v="3BHK Apartment in Mansarovar, Jaipur"/>
    <x v="10"/>
    <s v="Mansarovar"/>
    <x v="0"/>
    <n v="3"/>
    <n v="3"/>
    <n v="1128"/>
    <s v="Semi-Furnished"/>
    <n v="1"/>
    <n v="5"/>
    <n v="20500"/>
    <x v="1"/>
    <s v="Gurpreet Singh"/>
    <x v="41"/>
    <n v="1"/>
    <n v="18.170000000000002"/>
    <s v="Mid-Range"/>
    <s v="Normal"/>
    <s v="OK"/>
    <n v="20500"/>
  </r>
  <r>
    <n v="53"/>
    <s v="3BHK Apartment in Vaishali Nagar, Jaipur"/>
    <x v="10"/>
    <s v="Vaishali Nagar"/>
    <x v="0"/>
    <n v="3"/>
    <n v="2"/>
    <n v="984"/>
    <s v="Semi-Furnished"/>
    <n v="9"/>
    <n v="1"/>
    <n v="19500"/>
    <x v="0"/>
    <s v="Gurpreet Singh"/>
    <x v="42"/>
    <n v="1"/>
    <n v="19.82"/>
    <s v="Affordable"/>
    <s v="Normal"/>
    <s v="OK"/>
    <n v="19500"/>
  </r>
  <r>
    <n v="54"/>
    <s v="3BHK Independent House in Vaishali Nagar, Jaipur"/>
    <x v="10"/>
    <s v="Vaishali Nagar"/>
    <x v="2"/>
    <n v="3"/>
    <n v="2"/>
    <n v="1287"/>
    <s v="Semi-Furnished"/>
    <n v="2"/>
    <n v="7"/>
    <n v="25000"/>
    <x v="1"/>
    <s v="Gurpreet Singh"/>
    <x v="43"/>
    <n v="1"/>
    <n v="19.43"/>
    <s v="Mid-Range"/>
    <s v="Normal"/>
    <s v="OK"/>
    <n v="25000"/>
  </r>
  <r>
    <n v="55"/>
    <s v="2BHK Independent House in Vaishali Nagar, Jaipur"/>
    <x v="10"/>
    <s v="Vaishali Nagar"/>
    <x v="2"/>
    <n v="2"/>
    <n v="1"/>
    <n v="792"/>
    <s v="Semi-Furnished"/>
    <n v="2"/>
    <n v="0"/>
    <n v="17000"/>
    <x v="1"/>
    <s v="Gurpreet Singh"/>
    <x v="44"/>
    <n v="0"/>
    <n v="21.46"/>
    <s v="Affordable"/>
    <s v="No Interest"/>
    <s v="OK"/>
    <s v="No inquiries"/>
  </r>
  <r>
    <n v="56"/>
    <s v="1BHK Apartment in Hazratganj, Lucknow"/>
    <x v="11"/>
    <s v="Hazratganj"/>
    <x v="0"/>
    <n v="1"/>
    <n v="1"/>
    <n v="327"/>
    <s v="Semi-Furnished"/>
    <n v="6"/>
    <n v="4"/>
    <n v="6000"/>
    <x v="0"/>
    <s v="Sunita Verma"/>
    <x v="45"/>
    <n v="0"/>
    <n v="18.350000000000001"/>
    <s v="Affordable"/>
    <s v="No Interest"/>
    <s v="Review Price"/>
    <s v="No inquiries"/>
  </r>
  <r>
    <n v="57"/>
    <s v="4BHK Independent House in Indira Nagar, Lucknow"/>
    <x v="11"/>
    <s v="Indira Nagar"/>
    <x v="2"/>
    <n v="4"/>
    <n v="3"/>
    <n v="1648"/>
    <s v="Unfurnished"/>
    <n v="1"/>
    <n v="5"/>
    <n v="25500"/>
    <x v="1"/>
    <s v="Sunita Verma"/>
    <x v="46"/>
    <n v="1"/>
    <n v="15.47"/>
    <s v="Mid-Range"/>
    <s v="Normal"/>
    <s v="OK"/>
    <n v="25500"/>
  </r>
  <r>
    <n v="58"/>
    <s v="3BHK Apartment in Aliganj, Lucknow"/>
    <x v="11"/>
    <s v="Aliganj"/>
    <x v="0"/>
    <n v="3"/>
    <n v="2"/>
    <n v="924"/>
    <s v="Unfurnished"/>
    <n v="9"/>
    <n v="4"/>
    <n v="14000"/>
    <x v="1"/>
    <s v="Sunita Verma"/>
    <x v="47"/>
    <n v="1"/>
    <n v="15.15"/>
    <s v="Affordable"/>
    <s v="Normal"/>
    <s v="OK"/>
    <n v="14000"/>
  </r>
  <r>
    <n v="59"/>
    <s v="1BHK Apartment in Aliganj, Lucknow"/>
    <x v="11"/>
    <s v="Aliganj"/>
    <x v="0"/>
    <n v="1"/>
    <n v="1"/>
    <n v="334"/>
    <s v="Furnished"/>
    <n v="2"/>
    <n v="3"/>
    <n v="6500"/>
    <x v="0"/>
    <s v="Sunita Verma"/>
    <x v="48"/>
    <n v="1"/>
    <n v="19.46"/>
    <s v="Affordable"/>
    <s v="Normal"/>
    <s v="OK"/>
    <n v="6500"/>
  </r>
  <r>
    <n v="60"/>
    <s v="4BHK Apartment in Hazratganj, Lucknow"/>
    <x v="11"/>
    <s v="Hazratganj"/>
    <x v="0"/>
    <n v="4"/>
    <n v="4"/>
    <n v="1332"/>
    <s v="Unfurnished"/>
    <n v="13"/>
    <n v="1"/>
    <n v="22000"/>
    <x v="0"/>
    <s v="Sunita Verma"/>
    <x v="49"/>
    <n v="1"/>
    <n v="16.52"/>
    <s v="Mid-Range"/>
    <s v="Normal"/>
    <s v="OK"/>
    <n v="2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FA452-DF20-4C02-AFAD-6EA6A5339CC8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0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51">
        <item x="33"/>
        <item x="36"/>
        <item x="41"/>
        <item x="18"/>
        <item x="17"/>
        <item x="30"/>
        <item x="46"/>
        <item x="5"/>
        <item x="25"/>
        <item x="14"/>
        <item x="22"/>
        <item x="27"/>
        <item x="28"/>
        <item x="15"/>
        <item x="9"/>
        <item x="3"/>
        <item x="24"/>
        <item x="16"/>
        <item x="19"/>
        <item x="32"/>
        <item x="35"/>
        <item x="44"/>
        <item x="10"/>
        <item x="39"/>
        <item x="2"/>
        <item x="34"/>
        <item x="31"/>
        <item x="38"/>
        <item x="45"/>
        <item x="12"/>
        <item x="48"/>
        <item x="20"/>
        <item x="6"/>
        <item x="43"/>
        <item x="7"/>
        <item x="26"/>
        <item x="21"/>
        <item x="37"/>
        <item x="29"/>
        <item x="42"/>
        <item x="4"/>
        <item x="23"/>
        <item x="47"/>
        <item x="8"/>
        <item x="40"/>
        <item x="1"/>
        <item x="0"/>
        <item x="13"/>
        <item x="11"/>
        <item x="49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2"/>
    <field x="21"/>
    <field x="14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inquiry_c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68B9F-CC74-4E0B-A9F7-1F8E8062B12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35" firstHeaderRow="1" firstDataRow="2" firstDataCol="1"/>
  <pivotFields count="23">
    <pivotField dataField="1" showAll="0"/>
    <pivotField showAll="0"/>
    <pivotField axis="axisRow" showAll="0">
      <items count="13">
        <item x="8"/>
        <item x="0"/>
        <item x="3"/>
        <item x="4"/>
        <item x="9"/>
        <item x="10"/>
        <item x="11"/>
        <item x="1"/>
        <item x="6"/>
        <item x="5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4" showAll="0">
      <items count="51">
        <item x="33"/>
        <item x="36"/>
        <item x="41"/>
        <item x="18"/>
        <item x="17"/>
        <item x="30"/>
        <item x="46"/>
        <item x="5"/>
        <item x="25"/>
        <item x="14"/>
        <item x="22"/>
        <item x="27"/>
        <item x="28"/>
        <item x="15"/>
        <item x="9"/>
        <item x="3"/>
        <item x="24"/>
        <item x="16"/>
        <item x="19"/>
        <item x="32"/>
        <item x="35"/>
        <item x="44"/>
        <item x="10"/>
        <item x="39"/>
        <item x="2"/>
        <item x="34"/>
        <item x="31"/>
        <item x="38"/>
        <item x="45"/>
        <item x="12"/>
        <item x="48"/>
        <item x="20"/>
        <item x="6"/>
        <item x="43"/>
        <item x="7"/>
        <item x="26"/>
        <item x="21"/>
        <item x="37"/>
        <item x="29"/>
        <item x="42"/>
        <item x="4"/>
        <item x="23"/>
        <item x="47"/>
        <item x="8"/>
        <item x="40"/>
        <item x="1"/>
        <item x="0"/>
        <item x="13"/>
        <item x="11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roperty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DA005-C188-4FA0-9F01-CE8BCBE9DDE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7" firstHeaderRow="1" firstDataRow="2" firstDataCol="1"/>
  <pivotFields count="23">
    <pivotField showAll="0"/>
    <pivotField showAll="0"/>
    <pivotField axis="axisRow" showAll="0">
      <items count="13">
        <item x="8"/>
        <item x="0"/>
        <item x="3"/>
        <item x="4"/>
        <item x="9"/>
        <item x="10"/>
        <item x="11"/>
        <item x="1"/>
        <item x="6"/>
        <item x="5"/>
        <item x="2"/>
        <item x="7"/>
        <item t="default"/>
      </items>
    </pivotField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51">
        <item x="33"/>
        <item x="36"/>
        <item x="41"/>
        <item x="18"/>
        <item x="17"/>
        <item x="30"/>
        <item x="46"/>
        <item x="5"/>
        <item x="25"/>
        <item x="14"/>
        <item x="22"/>
        <item x="27"/>
        <item x="28"/>
        <item x="15"/>
        <item x="9"/>
        <item x="3"/>
        <item x="24"/>
        <item x="16"/>
        <item x="19"/>
        <item x="32"/>
        <item x="35"/>
        <item x="44"/>
        <item x="10"/>
        <item x="39"/>
        <item x="2"/>
        <item x="34"/>
        <item x="31"/>
        <item x="38"/>
        <item x="45"/>
        <item x="12"/>
        <item x="48"/>
        <item x="20"/>
        <item x="6"/>
        <item x="43"/>
        <item x="7"/>
        <item x="26"/>
        <item x="21"/>
        <item x="37"/>
        <item x="29"/>
        <item x="42"/>
        <item x="4"/>
        <item x="23"/>
        <item x="47"/>
        <item x="8"/>
        <item x="40"/>
        <item x="1"/>
        <item x="0"/>
        <item x="13"/>
        <item x="11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re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8FA9-874C-48E8-8E62-4FC70D322A10}">
  <dimension ref="A1:U61"/>
  <sheetViews>
    <sheetView topLeftCell="L1" workbookViewId="0">
      <selection activeCell="V1" sqref="V1"/>
    </sheetView>
  </sheetViews>
  <sheetFormatPr defaultRowHeight="15" x14ac:dyDescent="0.25"/>
  <cols>
    <col min="1" max="1" width="10.85546875" bestFit="1" customWidth="1"/>
    <col min="2" max="2" width="47.42578125" bestFit="1" customWidth="1"/>
    <col min="3" max="3" width="11.28515625" bestFit="1" customWidth="1"/>
    <col min="4" max="4" width="16.28515625" bestFit="1" customWidth="1"/>
    <col min="5" max="5" width="18.28515625" bestFit="1" customWidth="1"/>
    <col min="6" max="6" width="10" bestFit="1" customWidth="1"/>
    <col min="7" max="7" width="10.7109375" bestFit="1" customWidth="1"/>
    <col min="9" max="9" width="15" bestFit="1" customWidth="1"/>
    <col min="10" max="10" width="5.140625" bestFit="1" customWidth="1"/>
    <col min="11" max="11" width="14" bestFit="1" customWidth="1"/>
    <col min="12" max="12" width="7" bestFit="1" customWidth="1"/>
    <col min="14" max="14" width="15.85546875" bestFit="1" customWidth="1"/>
    <col min="15" max="15" width="10.5703125" bestFit="1" customWidth="1"/>
    <col min="16" max="16" width="13.140625" bestFit="1" customWidth="1"/>
    <col min="17" max="17" width="12.28515625" bestFit="1" customWidth="1"/>
    <col min="18" max="18" width="10.42578125" bestFit="1" customWidth="1"/>
    <col min="19" max="19" width="12.85546875" bestFit="1" customWidth="1"/>
    <col min="20" max="20" width="11.85546875" bestFit="1" customWidth="1"/>
    <col min="21" max="21" width="15.71093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154</v>
      </c>
      <c r="P1" s="2" t="s">
        <v>14</v>
      </c>
      <c r="Q1" s="2" t="s">
        <v>15</v>
      </c>
      <c r="R1" s="2" t="s">
        <v>146</v>
      </c>
      <c r="S1" s="2" t="s">
        <v>147</v>
      </c>
      <c r="T1" s="2" t="s">
        <v>155</v>
      </c>
      <c r="U1" s="2" t="s">
        <v>156</v>
      </c>
    </row>
    <row r="2" spans="1:21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3</v>
      </c>
      <c r="G2">
        <v>3</v>
      </c>
      <c r="H2">
        <v>1143</v>
      </c>
      <c r="I2" t="s">
        <v>20</v>
      </c>
      <c r="J2">
        <v>3</v>
      </c>
      <c r="K2">
        <v>8</v>
      </c>
      <c r="L2">
        <v>41500</v>
      </c>
      <c r="M2" t="s">
        <v>21</v>
      </c>
      <c r="N2" t="s">
        <v>22</v>
      </c>
      <c r="O2" s="1">
        <v>46308</v>
      </c>
      <c r="P2">
        <v>2</v>
      </c>
      <c r="Q2">
        <v>36.31</v>
      </c>
      <c r="R2" t="str">
        <f>IF(L2&lt;20000,"Affordable",IF(L2&lt;45000,"Mid-Range","Premium"))</f>
        <v>Mid-Range</v>
      </c>
      <c r="S2" t="str">
        <f>IF(P2=0,"No Interest",IF(P2&gt;=3,"High Demand","Normal"))</f>
        <v>Normal</v>
      </c>
      <c r="T2" t="str">
        <f>IF(AND(M2="Available",OR(P2=0,L2&gt;45000)),"Review Price","OK")</f>
        <v>OK</v>
      </c>
      <c r="U2">
        <f>IFERROR(L2/P2,"No inquiries")</f>
        <v>20750</v>
      </c>
    </row>
    <row r="3" spans="1:21" x14ac:dyDescent="0.25">
      <c r="A3">
        <v>2</v>
      </c>
      <c r="B3" t="s">
        <v>23</v>
      </c>
      <c r="C3" t="s">
        <v>17</v>
      </c>
      <c r="D3" t="s">
        <v>24</v>
      </c>
      <c r="E3" t="s">
        <v>25</v>
      </c>
      <c r="F3">
        <v>4</v>
      </c>
      <c r="G3">
        <v>4</v>
      </c>
      <c r="H3">
        <v>2020</v>
      </c>
      <c r="I3" t="s">
        <v>20</v>
      </c>
      <c r="J3">
        <v>1</v>
      </c>
      <c r="K3">
        <v>9</v>
      </c>
      <c r="L3">
        <v>109500</v>
      </c>
      <c r="M3" t="s">
        <v>21</v>
      </c>
      <c r="N3" t="s">
        <v>22</v>
      </c>
      <c r="O3" s="1">
        <v>46306</v>
      </c>
      <c r="P3">
        <v>0</v>
      </c>
      <c r="Q3">
        <v>54.21</v>
      </c>
      <c r="R3" t="str">
        <f t="shared" ref="R3:R61" si="0">IF(L3&lt;20000,"Affordable",IF(L3&lt;45000,"Mid-Range","Premium"))</f>
        <v>Premium</v>
      </c>
      <c r="S3" t="str">
        <f t="shared" ref="S3:S61" si="1">IF(P3=0,"No Interest",IF(P3&gt;=3,"High Demand","Normal"))</f>
        <v>No Interest</v>
      </c>
      <c r="T3" t="str">
        <f t="shared" ref="T3:T61" si="2">IF(AND(M3="Available",OR(P3=0,L3&gt;45000)),"Review Price","OK")</f>
        <v>Review Price</v>
      </c>
      <c r="U3" t="str">
        <f t="shared" ref="U3:U61" si="3">IFERROR(L3/P3,"No inquiries")</f>
        <v>No inquiries</v>
      </c>
    </row>
    <row r="4" spans="1:21" x14ac:dyDescent="0.25">
      <c r="A4">
        <v>3</v>
      </c>
      <c r="B4" t="s">
        <v>26</v>
      </c>
      <c r="C4" t="s">
        <v>17</v>
      </c>
      <c r="D4" t="s">
        <v>24</v>
      </c>
      <c r="E4" t="s">
        <v>19</v>
      </c>
      <c r="F4">
        <v>2</v>
      </c>
      <c r="G4">
        <v>1</v>
      </c>
      <c r="H4">
        <v>646</v>
      </c>
      <c r="I4" t="s">
        <v>27</v>
      </c>
      <c r="J4">
        <v>20</v>
      </c>
      <c r="K4">
        <v>8</v>
      </c>
      <c r="L4">
        <v>25000</v>
      </c>
      <c r="M4" t="s">
        <v>28</v>
      </c>
      <c r="N4" t="s">
        <v>22</v>
      </c>
      <c r="O4" s="1">
        <v>46230</v>
      </c>
      <c r="P4">
        <v>1</v>
      </c>
      <c r="Q4">
        <v>38.700000000000003</v>
      </c>
      <c r="R4" t="str">
        <f t="shared" si="0"/>
        <v>Mid-Range</v>
      </c>
      <c r="S4" t="str">
        <f t="shared" si="1"/>
        <v>Normal</v>
      </c>
      <c r="T4" t="str">
        <f t="shared" si="2"/>
        <v>OK</v>
      </c>
      <c r="U4">
        <f t="shared" si="3"/>
        <v>25000</v>
      </c>
    </row>
    <row r="5" spans="1:21" x14ac:dyDescent="0.25">
      <c r="A5">
        <v>4</v>
      </c>
      <c r="B5" t="s">
        <v>29</v>
      </c>
      <c r="C5" t="s">
        <v>17</v>
      </c>
      <c r="D5" t="s">
        <v>18</v>
      </c>
      <c r="E5" t="s">
        <v>30</v>
      </c>
      <c r="F5">
        <v>3</v>
      </c>
      <c r="G5">
        <v>3</v>
      </c>
      <c r="H5">
        <v>1479</v>
      </c>
      <c r="I5" t="s">
        <v>27</v>
      </c>
      <c r="J5">
        <v>2</v>
      </c>
      <c r="K5">
        <v>6</v>
      </c>
      <c r="L5">
        <v>61000</v>
      </c>
      <c r="M5" t="s">
        <v>28</v>
      </c>
      <c r="N5" t="s">
        <v>22</v>
      </c>
      <c r="O5" s="1">
        <v>46212</v>
      </c>
      <c r="P5">
        <v>1</v>
      </c>
      <c r="Q5">
        <v>41.24</v>
      </c>
      <c r="R5" t="str">
        <f t="shared" si="0"/>
        <v>Premium</v>
      </c>
      <c r="S5" t="str">
        <f t="shared" si="1"/>
        <v>Normal</v>
      </c>
      <c r="T5" t="str">
        <f t="shared" si="2"/>
        <v>OK</v>
      </c>
      <c r="U5">
        <f t="shared" si="3"/>
        <v>61000</v>
      </c>
    </row>
    <row r="6" spans="1:21" x14ac:dyDescent="0.25">
      <c r="A6">
        <v>5</v>
      </c>
      <c r="B6" t="s">
        <v>31</v>
      </c>
      <c r="C6" t="s">
        <v>17</v>
      </c>
      <c r="D6" t="s">
        <v>24</v>
      </c>
      <c r="E6" t="s">
        <v>32</v>
      </c>
      <c r="F6">
        <v>1</v>
      </c>
      <c r="G6">
        <v>1</v>
      </c>
      <c r="H6">
        <v>220</v>
      </c>
      <c r="I6" t="s">
        <v>33</v>
      </c>
      <c r="J6">
        <v>0</v>
      </c>
      <c r="K6">
        <v>5</v>
      </c>
      <c r="L6">
        <v>5500</v>
      </c>
      <c r="M6" t="s">
        <v>28</v>
      </c>
      <c r="N6" t="s">
        <v>22</v>
      </c>
      <c r="O6" s="1">
        <v>46279</v>
      </c>
      <c r="P6">
        <v>0</v>
      </c>
      <c r="Q6">
        <v>25</v>
      </c>
      <c r="R6" t="str">
        <f t="shared" si="0"/>
        <v>Affordable</v>
      </c>
      <c r="S6" t="str">
        <f t="shared" si="1"/>
        <v>No Interest</v>
      </c>
      <c r="T6" t="str">
        <f t="shared" si="2"/>
        <v>OK</v>
      </c>
      <c r="U6" t="str">
        <f t="shared" si="3"/>
        <v>No inquiries</v>
      </c>
    </row>
    <row r="7" spans="1:21" x14ac:dyDescent="0.25">
      <c r="A7">
        <v>6</v>
      </c>
      <c r="B7" t="s">
        <v>34</v>
      </c>
      <c r="C7" t="s">
        <v>35</v>
      </c>
      <c r="D7" t="s">
        <v>36</v>
      </c>
      <c r="E7" t="s">
        <v>19</v>
      </c>
      <c r="F7">
        <v>4</v>
      </c>
      <c r="G7">
        <v>4</v>
      </c>
      <c r="H7">
        <v>1388</v>
      </c>
      <c r="I7" t="s">
        <v>20</v>
      </c>
      <c r="J7">
        <v>1</v>
      </c>
      <c r="K7">
        <v>10</v>
      </c>
      <c r="L7">
        <v>36500</v>
      </c>
      <c r="M7" t="s">
        <v>28</v>
      </c>
      <c r="N7" t="s">
        <v>37</v>
      </c>
      <c r="O7" s="1">
        <v>46185</v>
      </c>
      <c r="P7">
        <v>1</v>
      </c>
      <c r="Q7">
        <v>26.3</v>
      </c>
      <c r="R7" t="str">
        <f t="shared" si="0"/>
        <v>Mid-Range</v>
      </c>
      <c r="S7" t="str">
        <f t="shared" si="1"/>
        <v>Normal</v>
      </c>
      <c r="T7" t="str">
        <f t="shared" si="2"/>
        <v>OK</v>
      </c>
      <c r="U7">
        <f t="shared" si="3"/>
        <v>36500</v>
      </c>
    </row>
    <row r="8" spans="1:21" x14ac:dyDescent="0.25">
      <c r="A8">
        <v>7</v>
      </c>
      <c r="B8" t="s">
        <v>38</v>
      </c>
      <c r="C8" t="s">
        <v>35</v>
      </c>
      <c r="D8" t="s">
        <v>36</v>
      </c>
      <c r="E8" t="s">
        <v>32</v>
      </c>
      <c r="F8">
        <v>1</v>
      </c>
      <c r="G8">
        <v>1</v>
      </c>
      <c r="H8">
        <v>135</v>
      </c>
      <c r="I8" t="s">
        <v>33</v>
      </c>
      <c r="J8">
        <v>1</v>
      </c>
      <c r="K8">
        <v>6</v>
      </c>
      <c r="L8">
        <v>3000</v>
      </c>
      <c r="M8" t="s">
        <v>28</v>
      </c>
      <c r="N8" t="s">
        <v>37</v>
      </c>
      <c r="O8" s="1">
        <v>46255</v>
      </c>
      <c r="P8">
        <v>1</v>
      </c>
      <c r="Q8">
        <v>22.22</v>
      </c>
      <c r="R8" t="str">
        <f t="shared" si="0"/>
        <v>Affordable</v>
      </c>
      <c r="S8" t="str">
        <f t="shared" si="1"/>
        <v>Normal</v>
      </c>
      <c r="T8" t="str">
        <f t="shared" si="2"/>
        <v>OK</v>
      </c>
      <c r="U8">
        <f t="shared" si="3"/>
        <v>3000</v>
      </c>
    </row>
    <row r="9" spans="1:21" x14ac:dyDescent="0.25">
      <c r="A9">
        <v>8</v>
      </c>
      <c r="B9" t="s">
        <v>39</v>
      </c>
      <c r="C9" t="s">
        <v>35</v>
      </c>
      <c r="D9" t="s">
        <v>40</v>
      </c>
      <c r="E9" t="s">
        <v>19</v>
      </c>
      <c r="F9">
        <v>1</v>
      </c>
      <c r="G9">
        <v>1</v>
      </c>
      <c r="H9">
        <v>358</v>
      </c>
      <c r="I9" t="s">
        <v>33</v>
      </c>
      <c r="J9">
        <v>9</v>
      </c>
      <c r="K9">
        <v>2</v>
      </c>
      <c r="L9">
        <v>8000</v>
      </c>
      <c r="M9" t="s">
        <v>21</v>
      </c>
      <c r="N9" t="s">
        <v>37</v>
      </c>
      <c r="O9" s="1">
        <v>46264</v>
      </c>
      <c r="P9">
        <v>2</v>
      </c>
      <c r="Q9">
        <v>22.35</v>
      </c>
      <c r="R9" t="str">
        <f t="shared" si="0"/>
        <v>Affordable</v>
      </c>
      <c r="S9" t="str">
        <f t="shared" si="1"/>
        <v>Normal</v>
      </c>
      <c r="T9" t="str">
        <f t="shared" si="2"/>
        <v>OK</v>
      </c>
      <c r="U9">
        <f t="shared" si="3"/>
        <v>4000</v>
      </c>
    </row>
    <row r="10" spans="1:21" x14ac:dyDescent="0.25">
      <c r="A10">
        <v>9</v>
      </c>
      <c r="B10" t="s">
        <v>41</v>
      </c>
      <c r="C10" t="s">
        <v>35</v>
      </c>
      <c r="D10" t="s">
        <v>42</v>
      </c>
      <c r="E10" t="s">
        <v>19</v>
      </c>
      <c r="F10">
        <v>3</v>
      </c>
      <c r="G10">
        <v>3</v>
      </c>
      <c r="H10">
        <v>1209</v>
      </c>
      <c r="I10" t="s">
        <v>27</v>
      </c>
      <c r="J10">
        <v>15</v>
      </c>
      <c r="K10">
        <v>1</v>
      </c>
      <c r="L10">
        <v>33500</v>
      </c>
      <c r="M10" t="s">
        <v>21</v>
      </c>
      <c r="N10" t="s">
        <v>37</v>
      </c>
      <c r="O10" s="1">
        <v>46301</v>
      </c>
      <c r="P10">
        <v>1</v>
      </c>
      <c r="Q10">
        <v>27.71</v>
      </c>
      <c r="R10" t="str">
        <f t="shared" si="0"/>
        <v>Mid-Range</v>
      </c>
      <c r="S10" t="str">
        <f t="shared" si="1"/>
        <v>Normal</v>
      </c>
      <c r="T10" t="str">
        <f t="shared" si="2"/>
        <v>OK</v>
      </c>
      <c r="U10">
        <f t="shared" si="3"/>
        <v>33500</v>
      </c>
    </row>
    <row r="11" spans="1:21" x14ac:dyDescent="0.25">
      <c r="A11">
        <v>10</v>
      </c>
      <c r="B11" t="s">
        <v>41</v>
      </c>
      <c r="C11" t="s">
        <v>35</v>
      </c>
      <c r="D11" t="s">
        <v>42</v>
      </c>
      <c r="E11" t="s">
        <v>19</v>
      </c>
      <c r="F11">
        <v>3</v>
      </c>
      <c r="G11">
        <v>3</v>
      </c>
      <c r="H11">
        <v>1233</v>
      </c>
      <c r="I11" t="s">
        <v>33</v>
      </c>
      <c r="J11">
        <v>8</v>
      </c>
      <c r="K11">
        <v>8</v>
      </c>
      <c r="L11">
        <v>30500</v>
      </c>
      <c r="M11" t="s">
        <v>21</v>
      </c>
      <c r="N11" t="s">
        <v>37</v>
      </c>
      <c r="O11" s="1">
        <v>46206</v>
      </c>
      <c r="P11">
        <v>0</v>
      </c>
      <c r="Q11">
        <v>24.74</v>
      </c>
      <c r="R11" t="str">
        <f t="shared" si="0"/>
        <v>Mid-Range</v>
      </c>
      <c r="S11" t="str">
        <f t="shared" si="1"/>
        <v>No Interest</v>
      </c>
      <c r="T11" t="str">
        <f t="shared" si="2"/>
        <v>Review Price</v>
      </c>
      <c r="U11" t="str">
        <f t="shared" si="3"/>
        <v>No inquiries</v>
      </c>
    </row>
    <row r="12" spans="1:21" x14ac:dyDescent="0.25">
      <c r="A12">
        <v>11</v>
      </c>
      <c r="B12" t="s">
        <v>43</v>
      </c>
      <c r="C12" t="s">
        <v>44</v>
      </c>
      <c r="D12" t="s">
        <v>45</v>
      </c>
      <c r="E12" t="s">
        <v>32</v>
      </c>
      <c r="F12">
        <v>1</v>
      </c>
      <c r="G12">
        <v>1</v>
      </c>
      <c r="H12">
        <v>190</v>
      </c>
      <c r="I12" t="s">
        <v>27</v>
      </c>
      <c r="J12">
        <v>1</v>
      </c>
      <c r="K12">
        <v>9</v>
      </c>
      <c r="L12">
        <v>5500</v>
      </c>
      <c r="M12" t="s">
        <v>21</v>
      </c>
      <c r="N12" t="s">
        <v>46</v>
      </c>
      <c r="O12" s="1">
        <v>46222</v>
      </c>
      <c r="P12">
        <v>2</v>
      </c>
      <c r="Q12">
        <v>28.95</v>
      </c>
      <c r="R12" t="str">
        <f t="shared" si="0"/>
        <v>Affordable</v>
      </c>
      <c r="S12" t="str">
        <f t="shared" si="1"/>
        <v>Normal</v>
      </c>
      <c r="T12" t="str">
        <f t="shared" si="2"/>
        <v>OK</v>
      </c>
      <c r="U12">
        <f t="shared" si="3"/>
        <v>2750</v>
      </c>
    </row>
    <row r="13" spans="1:21" x14ac:dyDescent="0.25">
      <c r="A13">
        <v>12</v>
      </c>
      <c r="B13" t="s">
        <v>47</v>
      </c>
      <c r="C13" t="s">
        <v>44</v>
      </c>
      <c r="D13" t="s">
        <v>45</v>
      </c>
      <c r="E13" t="s">
        <v>19</v>
      </c>
      <c r="F13">
        <v>4</v>
      </c>
      <c r="G13">
        <v>3</v>
      </c>
      <c r="H13">
        <v>1372</v>
      </c>
      <c r="I13" t="s">
        <v>27</v>
      </c>
      <c r="J13">
        <v>3</v>
      </c>
      <c r="K13">
        <v>8</v>
      </c>
      <c r="L13">
        <v>34500</v>
      </c>
      <c r="M13" t="s">
        <v>21</v>
      </c>
      <c r="N13" t="s">
        <v>46</v>
      </c>
      <c r="O13" s="1">
        <v>46313</v>
      </c>
      <c r="P13">
        <v>2</v>
      </c>
      <c r="Q13">
        <v>25.15</v>
      </c>
      <c r="R13" t="str">
        <f t="shared" si="0"/>
        <v>Mid-Range</v>
      </c>
      <c r="S13" t="str">
        <f t="shared" si="1"/>
        <v>Normal</v>
      </c>
      <c r="T13" t="str">
        <f t="shared" si="2"/>
        <v>OK</v>
      </c>
      <c r="U13">
        <f t="shared" si="3"/>
        <v>17250</v>
      </c>
    </row>
    <row r="14" spans="1:21" x14ac:dyDescent="0.25">
      <c r="A14">
        <v>13</v>
      </c>
      <c r="B14" t="s">
        <v>48</v>
      </c>
      <c r="C14" t="s">
        <v>44</v>
      </c>
      <c r="D14" t="s">
        <v>49</v>
      </c>
      <c r="E14" t="s">
        <v>32</v>
      </c>
      <c r="F14">
        <v>1</v>
      </c>
      <c r="G14">
        <v>1</v>
      </c>
      <c r="H14">
        <v>290</v>
      </c>
      <c r="I14" t="s">
        <v>33</v>
      </c>
      <c r="J14">
        <v>0</v>
      </c>
      <c r="K14">
        <v>6</v>
      </c>
      <c r="L14">
        <v>6000</v>
      </c>
      <c r="M14" t="s">
        <v>21</v>
      </c>
      <c r="N14" t="s">
        <v>46</v>
      </c>
      <c r="O14" s="1">
        <v>46243</v>
      </c>
      <c r="P14">
        <v>0</v>
      </c>
      <c r="Q14">
        <v>20.69</v>
      </c>
      <c r="R14" t="str">
        <f t="shared" si="0"/>
        <v>Affordable</v>
      </c>
      <c r="S14" t="str">
        <f t="shared" si="1"/>
        <v>No Interest</v>
      </c>
      <c r="T14" t="str">
        <f t="shared" si="2"/>
        <v>Review Price</v>
      </c>
      <c r="U14" t="str">
        <f t="shared" si="3"/>
        <v>No inquiries</v>
      </c>
    </row>
    <row r="15" spans="1:21" x14ac:dyDescent="0.25">
      <c r="A15">
        <v>14</v>
      </c>
      <c r="B15" t="s">
        <v>50</v>
      </c>
      <c r="C15" t="s">
        <v>44</v>
      </c>
      <c r="D15" t="s">
        <v>51</v>
      </c>
      <c r="E15" t="s">
        <v>19</v>
      </c>
      <c r="F15">
        <v>4</v>
      </c>
      <c r="G15">
        <v>4</v>
      </c>
      <c r="H15">
        <v>1344</v>
      </c>
      <c r="I15" t="s">
        <v>20</v>
      </c>
      <c r="J15">
        <v>7</v>
      </c>
      <c r="K15">
        <v>2</v>
      </c>
      <c r="L15">
        <v>30000</v>
      </c>
      <c r="M15" t="s">
        <v>28</v>
      </c>
      <c r="N15" t="s">
        <v>46</v>
      </c>
      <c r="O15" s="1">
        <v>46309</v>
      </c>
      <c r="P15">
        <v>1</v>
      </c>
      <c r="Q15">
        <v>22.32</v>
      </c>
      <c r="R15" t="str">
        <f t="shared" si="0"/>
        <v>Mid-Range</v>
      </c>
      <c r="S15" t="str">
        <f t="shared" si="1"/>
        <v>Normal</v>
      </c>
      <c r="T15" t="str">
        <f t="shared" si="2"/>
        <v>OK</v>
      </c>
      <c r="U15">
        <f t="shared" si="3"/>
        <v>30000</v>
      </c>
    </row>
    <row r="16" spans="1:21" x14ac:dyDescent="0.25">
      <c r="A16">
        <v>15</v>
      </c>
      <c r="B16" t="s">
        <v>52</v>
      </c>
      <c r="C16" t="s">
        <v>44</v>
      </c>
      <c r="D16" t="s">
        <v>51</v>
      </c>
      <c r="E16" t="s">
        <v>32</v>
      </c>
      <c r="F16">
        <v>1</v>
      </c>
      <c r="G16">
        <v>1</v>
      </c>
      <c r="H16">
        <v>247</v>
      </c>
      <c r="I16" t="s">
        <v>33</v>
      </c>
      <c r="J16">
        <v>1</v>
      </c>
      <c r="K16">
        <v>8</v>
      </c>
      <c r="L16">
        <v>5000</v>
      </c>
      <c r="M16" t="s">
        <v>28</v>
      </c>
      <c r="N16" t="s">
        <v>46</v>
      </c>
      <c r="O16" s="1">
        <v>46189</v>
      </c>
      <c r="P16">
        <v>1</v>
      </c>
      <c r="Q16">
        <v>20.239999999999998</v>
      </c>
      <c r="R16" t="str">
        <f t="shared" si="0"/>
        <v>Affordable</v>
      </c>
      <c r="S16" t="str">
        <f t="shared" si="1"/>
        <v>Normal</v>
      </c>
      <c r="T16" t="str">
        <f t="shared" si="2"/>
        <v>OK</v>
      </c>
      <c r="U16">
        <f t="shared" si="3"/>
        <v>5000</v>
      </c>
    </row>
    <row r="17" spans="1:21" x14ac:dyDescent="0.25">
      <c r="A17">
        <v>16</v>
      </c>
      <c r="B17" t="s">
        <v>53</v>
      </c>
      <c r="C17" t="s">
        <v>54</v>
      </c>
      <c r="D17" t="s">
        <v>55</v>
      </c>
      <c r="E17" t="s">
        <v>19</v>
      </c>
      <c r="F17">
        <v>2</v>
      </c>
      <c r="G17">
        <v>2</v>
      </c>
      <c r="H17">
        <v>712</v>
      </c>
      <c r="I17" t="s">
        <v>20</v>
      </c>
      <c r="J17">
        <v>8</v>
      </c>
      <c r="K17">
        <v>4</v>
      </c>
      <c r="L17">
        <v>30000</v>
      </c>
      <c r="M17" t="s">
        <v>21</v>
      </c>
      <c r="N17" t="s">
        <v>56</v>
      </c>
      <c r="O17" s="1">
        <v>46243</v>
      </c>
      <c r="P17">
        <v>1</v>
      </c>
      <c r="Q17">
        <v>42.13</v>
      </c>
      <c r="R17" t="str">
        <f t="shared" si="0"/>
        <v>Mid-Range</v>
      </c>
      <c r="S17" t="str">
        <f t="shared" si="1"/>
        <v>Normal</v>
      </c>
      <c r="T17" t="str">
        <f t="shared" si="2"/>
        <v>OK</v>
      </c>
      <c r="U17">
        <f t="shared" si="3"/>
        <v>30000</v>
      </c>
    </row>
    <row r="18" spans="1:21" x14ac:dyDescent="0.25">
      <c r="A18">
        <v>17</v>
      </c>
      <c r="B18" t="s">
        <v>57</v>
      </c>
      <c r="C18" t="s">
        <v>54</v>
      </c>
      <c r="D18" t="s">
        <v>58</v>
      </c>
      <c r="E18" t="s">
        <v>19</v>
      </c>
      <c r="F18">
        <v>4</v>
      </c>
      <c r="G18">
        <v>4</v>
      </c>
      <c r="H18">
        <v>1392</v>
      </c>
      <c r="I18" t="s">
        <v>33</v>
      </c>
      <c r="J18">
        <v>7</v>
      </c>
      <c r="K18">
        <v>6</v>
      </c>
      <c r="L18">
        <v>54500</v>
      </c>
      <c r="M18" t="s">
        <v>28</v>
      </c>
      <c r="N18" t="s">
        <v>56</v>
      </c>
      <c r="O18" s="1">
        <v>46185</v>
      </c>
      <c r="P18">
        <v>4</v>
      </c>
      <c r="Q18">
        <v>39.15</v>
      </c>
      <c r="R18" t="str">
        <f t="shared" si="0"/>
        <v>Premium</v>
      </c>
      <c r="S18" t="str">
        <f t="shared" si="1"/>
        <v>High Demand</v>
      </c>
      <c r="T18" t="str">
        <f t="shared" si="2"/>
        <v>OK</v>
      </c>
      <c r="U18">
        <f t="shared" si="3"/>
        <v>13625</v>
      </c>
    </row>
    <row r="19" spans="1:21" x14ac:dyDescent="0.25">
      <c r="A19">
        <v>18</v>
      </c>
      <c r="B19" t="s">
        <v>59</v>
      </c>
      <c r="C19" t="s">
        <v>54</v>
      </c>
      <c r="D19" t="s">
        <v>60</v>
      </c>
      <c r="E19" t="s">
        <v>19</v>
      </c>
      <c r="F19">
        <v>1</v>
      </c>
      <c r="G19">
        <v>1</v>
      </c>
      <c r="H19">
        <v>328</v>
      </c>
      <c r="I19" t="s">
        <v>27</v>
      </c>
      <c r="J19">
        <v>1</v>
      </c>
      <c r="K19">
        <v>1</v>
      </c>
      <c r="L19">
        <v>15000</v>
      </c>
      <c r="M19" t="s">
        <v>21</v>
      </c>
      <c r="N19" t="s">
        <v>56</v>
      </c>
      <c r="O19" s="1">
        <v>46308</v>
      </c>
      <c r="P19">
        <v>1</v>
      </c>
      <c r="Q19">
        <v>45.73</v>
      </c>
      <c r="R19" t="str">
        <f t="shared" si="0"/>
        <v>Affordable</v>
      </c>
      <c r="S19" t="str">
        <f t="shared" si="1"/>
        <v>Normal</v>
      </c>
      <c r="T19" t="str">
        <f t="shared" si="2"/>
        <v>OK</v>
      </c>
      <c r="U19">
        <f t="shared" si="3"/>
        <v>15000</v>
      </c>
    </row>
    <row r="20" spans="1:21" x14ac:dyDescent="0.25">
      <c r="A20">
        <v>19</v>
      </c>
      <c r="B20" t="s">
        <v>61</v>
      </c>
      <c r="C20" t="s">
        <v>54</v>
      </c>
      <c r="D20" t="s">
        <v>62</v>
      </c>
      <c r="E20" t="s">
        <v>19</v>
      </c>
      <c r="F20">
        <v>4</v>
      </c>
      <c r="G20">
        <v>4</v>
      </c>
      <c r="H20">
        <v>1416</v>
      </c>
      <c r="I20" t="s">
        <v>27</v>
      </c>
      <c r="J20">
        <v>15</v>
      </c>
      <c r="K20">
        <v>6</v>
      </c>
      <c r="L20">
        <v>75500</v>
      </c>
      <c r="M20" t="s">
        <v>21</v>
      </c>
      <c r="N20" t="s">
        <v>56</v>
      </c>
      <c r="O20" s="1">
        <v>46205</v>
      </c>
      <c r="P20">
        <v>0</v>
      </c>
      <c r="Q20">
        <v>53.32</v>
      </c>
      <c r="R20" t="str">
        <f t="shared" si="0"/>
        <v>Premium</v>
      </c>
      <c r="S20" t="str">
        <f t="shared" si="1"/>
        <v>No Interest</v>
      </c>
      <c r="T20" t="str">
        <f t="shared" si="2"/>
        <v>Review Price</v>
      </c>
      <c r="U20" t="str">
        <f t="shared" si="3"/>
        <v>No inquiries</v>
      </c>
    </row>
    <row r="21" spans="1:21" x14ac:dyDescent="0.25">
      <c r="A21">
        <v>20</v>
      </c>
      <c r="B21" t="s">
        <v>63</v>
      </c>
      <c r="C21" t="s">
        <v>54</v>
      </c>
      <c r="D21" t="s">
        <v>60</v>
      </c>
      <c r="E21" t="s">
        <v>32</v>
      </c>
      <c r="F21">
        <v>1</v>
      </c>
      <c r="G21">
        <v>1</v>
      </c>
      <c r="H21">
        <v>271</v>
      </c>
      <c r="I21" t="s">
        <v>27</v>
      </c>
      <c r="J21">
        <v>3</v>
      </c>
      <c r="K21">
        <v>3</v>
      </c>
      <c r="L21">
        <v>11000</v>
      </c>
      <c r="M21" t="s">
        <v>21</v>
      </c>
      <c r="N21" t="s">
        <v>56</v>
      </c>
      <c r="O21" s="1">
        <v>46215</v>
      </c>
      <c r="P21">
        <v>0</v>
      </c>
      <c r="Q21">
        <v>40.590000000000003</v>
      </c>
      <c r="R21" t="str">
        <f t="shared" si="0"/>
        <v>Affordable</v>
      </c>
      <c r="S21" t="str">
        <f t="shared" si="1"/>
        <v>No Interest</v>
      </c>
      <c r="T21" t="str">
        <f t="shared" si="2"/>
        <v>Review Price</v>
      </c>
      <c r="U21" t="str">
        <f t="shared" si="3"/>
        <v>No inquiries</v>
      </c>
    </row>
    <row r="22" spans="1:21" x14ac:dyDescent="0.25">
      <c r="A22">
        <v>21</v>
      </c>
      <c r="B22" t="s">
        <v>64</v>
      </c>
      <c r="C22" t="s">
        <v>65</v>
      </c>
      <c r="D22" t="s">
        <v>66</v>
      </c>
      <c r="E22" t="s">
        <v>19</v>
      </c>
      <c r="F22">
        <v>2</v>
      </c>
      <c r="G22">
        <v>2</v>
      </c>
      <c r="H22">
        <v>648</v>
      </c>
      <c r="I22" t="s">
        <v>20</v>
      </c>
      <c r="J22">
        <v>10</v>
      </c>
      <c r="K22">
        <v>4</v>
      </c>
      <c r="L22">
        <v>28500</v>
      </c>
      <c r="M22" t="s">
        <v>28</v>
      </c>
      <c r="N22" t="s">
        <v>67</v>
      </c>
      <c r="O22" s="1">
        <v>46173</v>
      </c>
      <c r="P22">
        <v>1</v>
      </c>
      <c r="Q22">
        <v>43.98</v>
      </c>
      <c r="R22" t="str">
        <f t="shared" si="0"/>
        <v>Mid-Range</v>
      </c>
      <c r="S22" t="str">
        <f t="shared" si="1"/>
        <v>Normal</v>
      </c>
      <c r="T22" t="str">
        <f t="shared" si="2"/>
        <v>OK</v>
      </c>
      <c r="U22">
        <f t="shared" si="3"/>
        <v>28500</v>
      </c>
    </row>
    <row r="23" spans="1:21" x14ac:dyDescent="0.25">
      <c r="A23">
        <v>22</v>
      </c>
      <c r="B23" t="s">
        <v>68</v>
      </c>
      <c r="C23" t="s">
        <v>65</v>
      </c>
      <c r="D23" t="s">
        <v>69</v>
      </c>
      <c r="E23" t="s">
        <v>32</v>
      </c>
      <c r="F23">
        <v>1</v>
      </c>
      <c r="G23">
        <v>1</v>
      </c>
      <c r="H23">
        <v>132</v>
      </c>
      <c r="I23" t="s">
        <v>33</v>
      </c>
      <c r="J23">
        <v>1</v>
      </c>
      <c r="K23">
        <v>9</v>
      </c>
      <c r="L23">
        <v>5000</v>
      </c>
      <c r="M23" t="s">
        <v>21</v>
      </c>
      <c r="N23" t="s">
        <v>67</v>
      </c>
      <c r="O23" s="1">
        <v>46160</v>
      </c>
      <c r="P23">
        <v>1</v>
      </c>
      <c r="Q23">
        <v>37.880000000000003</v>
      </c>
      <c r="R23" t="str">
        <f t="shared" si="0"/>
        <v>Affordable</v>
      </c>
      <c r="S23" t="str">
        <f t="shared" si="1"/>
        <v>Normal</v>
      </c>
      <c r="T23" t="str">
        <f t="shared" si="2"/>
        <v>OK</v>
      </c>
      <c r="U23">
        <f t="shared" si="3"/>
        <v>5000</v>
      </c>
    </row>
    <row r="24" spans="1:21" x14ac:dyDescent="0.25">
      <c r="A24">
        <v>23</v>
      </c>
      <c r="B24" t="s">
        <v>70</v>
      </c>
      <c r="C24" t="s">
        <v>65</v>
      </c>
      <c r="D24" t="s">
        <v>71</v>
      </c>
      <c r="E24" t="s">
        <v>19</v>
      </c>
      <c r="F24">
        <v>3</v>
      </c>
      <c r="G24">
        <v>3</v>
      </c>
      <c r="H24">
        <v>1272</v>
      </c>
      <c r="I24" t="s">
        <v>27</v>
      </c>
      <c r="J24">
        <v>16</v>
      </c>
      <c r="K24">
        <v>7</v>
      </c>
      <c r="L24">
        <v>71000</v>
      </c>
      <c r="M24" t="s">
        <v>21</v>
      </c>
      <c r="N24" t="s">
        <v>67</v>
      </c>
      <c r="O24" s="1">
        <v>46216</v>
      </c>
      <c r="P24">
        <v>0</v>
      </c>
      <c r="Q24">
        <v>55.82</v>
      </c>
      <c r="R24" t="str">
        <f t="shared" si="0"/>
        <v>Premium</v>
      </c>
      <c r="S24" t="str">
        <f t="shared" si="1"/>
        <v>No Interest</v>
      </c>
      <c r="T24" t="str">
        <f t="shared" si="2"/>
        <v>Review Price</v>
      </c>
      <c r="U24" t="str">
        <f t="shared" si="3"/>
        <v>No inquiries</v>
      </c>
    </row>
    <row r="25" spans="1:21" x14ac:dyDescent="0.25">
      <c r="A25">
        <v>24</v>
      </c>
      <c r="B25" t="s">
        <v>72</v>
      </c>
      <c r="C25" t="s">
        <v>65</v>
      </c>
      <c r="D25" t="s">
        <v>73</v>
      </c>
      <c r="E25" t="s">
        <v>32</v>
      </c>
      <c r="F25">
        <v>1</v>
      </c>
      <c r="G25">
        <v>1</v>
      </c>
      <c r="H25">
        <v>294</v>
      </c>
      <c r="I25" t="s">
        <v>20</v>
      </c>
      <c r="J25">
        <v>1</v>
      </c>
      <c r="K25">
        <v>5</v>
      </c>
      <c r="L25">
        <v>11000</v>
      </c>
      <c r="M25" t="s">
        <v>28</v>
      </c>
      <c r="N25" t="s">
        <v>67</v>
      </c>
      <c r="O25" s="1">
        <v>46248</v>
      </c>
      <c r="P25">
        <v>1</v>
      </c>
      <c r="Q25">
        <v>37.409999999999997</v>
      </c>
      <c r="R25" t="str">
        <f t="shared" si="0"/>
        <v>Affordable</v>
      </c>
      <c r="S25" t="str">
        <f t="shared" si="1"/>
        <v>Normal</v>
      </c>
      <c r="T25" t="str">
        <f t="shared" si="2"/>
        <v>OK</v>
      </c>
      <c r="U25">
        <f t="shared" si="3"/>
        <v>11000</v>
      </c>
    </row>
    <row r="26" spans="1:21" x14ac:dyDescent="0.25">
      <c r="A26">
        <v>25</v>
      </c>
      <c r="B26" t="s">
        <v>74</v>
      </c>
      <c r="C26" t="s">
        <v>65</v>
      </c>
      <c r="D26" t="s">
        <v>73</v>
      </c>
      <c r="E26" t="s">
        <v>19</v>
      </c>
      <c r="F26">
        <v>4</v>
      </c>
      <c r="G26">
        <v>3</v>
      </c>
      <c r="H26">
        <v>1480</v>
      </c>
      <c r="I26" t="s">
        <v>20</v>
      </c>
      <c r="J26">
        <v>19</v>
      </c>
      <c r="K26">
        <v>1</v>
      </c>
      <c r="L26">
        <v>57500</v>
      </c>
      <c r="M26" t="s">
        <v>21</v>
      </c>
      <c r="N26" t="s">
        <v>67</v>
      </c>
      <c r="O26" s="1">
        <v>46269</v>
      </c>
      <c r="P26">
        <v>0</v>
      </c>
      <c r="Q26">
        <v>38.85</v>
      </c>
      <c r="R26" t="str">
        <f t="shared" si="0"/>
        <v>Premium</v>
      </c>
      <c r="S26" t="str">
        <f t="shared" si="1"/>
        <v>No Interest</v>
      </c>
      <c r="T26" t="str">
        <f t="shared" si="2"/>
        <v>Review Price</v>
      </c>
      <c r="U26" t="str">
        <f t="shared" si="3"/>
        <v>No inquiries</v>
      </c>
    </row>
    <row r="27" spans="1:21" x14ac:dyDescent="0.25">
      <c r="A27">
        <v>26</v>
      </c>
      <c r="B27" t="s">
        <v>75</v>
      </c>
      <c r="C27" t="s">
        <v>76</v>
      </c>
      <c r="D27" t="s">
        <v>77</v>
      </c>
      <c r="E27" t="s">
        <v>19</v>
      </c>
      <c r="F27">
        <v>1</v>
      </c>
      <c r="G27">
        <v>1</v>
      </c>
      <c r="H27">
        <v>337</v>
      </c>
      <c r="I27" t="s">
        <v>27</v>
      </c>
      <c r="J27">
        <v>15</v>
      </c>
      <c r="K27">
        <v>10</v>
      </c>
      <c r="L27">
        <v>12500</v>
      </c>
      <c r="M27" t="s">
        <v>28</v>
      </c>
      <c r="N27" t="s">
        <v>78</v>
      </c>
      <c r="O27" s="1">
        <v>46193</v>
      </c>
      <c r="P27">
        <v>1</v>
      </c>
      <c r="Q27">
        <v>37.090000000000003</v>
      </c>
      <c r="R27" t="str">
        <f t="shared" si="0"/>
        <v>Affordable</v>
      </c>
      <c r="S27" t="str">
        <f t="shared" si="1"/>
        <v>Normal</v>
      </c>
      <c r="T27" t="str">
        <f t="shared" si="2"/>
        <v>OK</v>
      </c>
      <c r="U27">
        <f t="shared" si="3"/>
        <v>12500</v>
      </c>
    </row>
    <row r="28" spans="1:21" x14ac:dyDescent="0.25">
      <c r="A28">
        <v>27</v>
      </c>
      <c r="B28" t="s">
        <v>79</v>
      </c>
      <c r="C28" t="s">
        <v>76</v>
      </c>
      <c r="D28" t="s">
        <v>77</v>
      </c>
      <c r="E28" t="s">
        <v>30</v>
      </c>
      <c r="F28">
        <v>2</v>
      </c>
      <c r="G28">
        <v>2</v>
      </c>
      <c r="H28">
        <v>990</v>
      </c>
      <c r="I28" t="s">
        <v>33</v>
      </c>
      <c r="J28">
        <v>2</v>
      </c>
      <c r="K28">
        <v>2</v>
      </c>
      <c r="L28">
        <v>27000</v>
      </c>
      <c r="M28" t="s">
        <v>21</v>
      </c>
      <c r="N28" t="s">
        <v>78</v>
      </c>
      <c r="O28" s="1">
        <v>46285</v>
      </c>
      <c r="P28">
        <v>0</v>
      </c>
      <c r="Q28">
        <v>27.27</v>
      </c>
      <c r="R28" t="str">
        <f t="shared" si="0"/>
        <v>Mid-Range</v>
      </c>
      <c r="S28" t="str">
        <f t="shared" si="1"/>
        <v>No Interest</v>
      </c>
      <c r="T28" t="str">
        <f t="shared" si="2"/>
        <v>Review Price</v>
      </c>
      <c r="U28" t="str">
        <f t="shared" si="3"/>
        <v>No inquiries</v>
      </c>
    </row>
    <row r="29" spans="1:21" x14ac:dyDescent="0.25">
      <c r="A29">
        <v>28</v>
      </c>
      <c r="B29" t="s">
        <v>80</v>
      </c>
      <c r="C29" t="s">
        <v>76</v>
      </c>
      <c r="D29" t="s">
        <v>81</v>
      </c>
      <c r="E29" t="s">
        <v>19</v>
      </c>
      <c r="F29">
        <v>3</v>
      </c>
      <c r="G29">
        <v>3</v>
      </c>
      <c r="H29">
        <v>993</v>
      </c>
      <c r="I29" t="s">
        <v>20</v>
      </c>
      <c r="J29">
        <v>1</v>
      </c>
      <c r="K29">
        <v>7</v>
      </c>
      <c r="L29">
        <v>30000</v>
      </c>
      <c r="M29" t="s">
        <v>21</v>
      </c>
      <c r="N29" t="s">
        <v>78</v>
      </c>
      <c r="O29" s="1">
        <v>46213</v>
      </c>
      <c r="P29">
        <v>1</v>
      </c>
      <c r="Q29">
        <v>30.21</v>
      </c>
      <c r="R29" t="str">
        <f t="shared" si="0"/>
        <v>Mid-Range</v>
      </c>
      <c r="S29" t="str">
        <f t="shared" si="1"/>
        <v>Normal</v>
      </c>
      <c r="T29" t="str">
        <f t="shared" si="2"/>
        <v>OK</v>
      </c>
      <c r="U29">
        <f t="shared" si="3"/>
        <v>30000</v>
      </c>
    </row>
    <row r="30" spans="1:21" x14ac:dyDescent="0.25">
      <c r="A30">
        <v>29</v>
      </c>
      <c r="B30" t="s">
        <v>82</v>
      </c>
      <c r="C30" t="s">
        <v>76</v>
      </c>
      <c r="D30" t="s">
        <v>83</v>
      </c>
      <c r="E30" t="s">
        <v>19</v>
      </c>
      <c r="F30">
        <v>3</v>
      </c>
      <c r="G30">
        <v>3</v>
      </c>
      <c r="H30">
        <v>1218</v>
      </c>
      <c r="I30" t="s">
        <v>20</v>
      </c>
      <c r="J30">
        <v>19</v>
      </c>
      <c r="K30">
        <v>3</v>
      </c>
      <c r="L30">
        <v>41000</v>
      </c>
      <c r="M30" t="s">
        <v>21</v>
      </c>
      <c r="N30" t="s">
        <v>78</v>
      </c>
      <c r="O30" s="1">
        <v>46188</v>
      </c>
      <c r="P30">
        <v>1</v>
      </c>
      <c r="Q30">
        <v>33.659999999999997</v>
      </c>
      <c r="R30" t="str">
        <f t="shared" si="0"/>
        <v>Mid-Range</v>
      </c>
      <c r="S30" t="str">
        <f t="shared" si="1"/>
        <v>Normal</v>
      </c>
      <c r="T30" t="str">
        <f t="shared" si="2"/>
        <v>OK</v>
      </c>
      <c r="U30">
        <f t="shared" si="3"/>
        <v>41000</v>
      </c>
    </row>
    <row r="31" spans="1:21" x14ac:dyDescent="0.25">
      <c r="A31">
        <v>30</v>
      </c>
      <c r="B31" t="s">
        <v>84</v>
      </c>
      <c r="C31" t="s">
        <v>76</v>
      </c>
      <c r="D31" t="s">
        <v>85</v>
      </c>
      <c r="E31" t="s">
        <v>25</v>
      </c>
      <c r="F31">
        <v>3</v>
      </c>
      <c r="G31">
        <v>3</v>
      </c>
      <c r="H31">
        <v>1356</v>
      </c>
      <c r="I31" t="s">
        <v>20</v>
      </c>
      <c r="J31">
        <v>0</v>
      </c>
      <c r="K31">
        <v>5</v>
      </c>
      <c r="L31">
        <v>53000</v>
      </c>
      <c r="M31" t="s">
        <v>28</v>
      </c>
      <c r="N31" t="s">
        <v>78</v>
      </c>
      <c r="O31" s="1">
        <v>46266</v>
      </c>
      <c r="P31">
        <v>0</v>
      </c>
      <c r="Q31">
        <v>39.090000000000003</v>
      </c>
      <c r="R31" t="str">
        <f t="shared" si="0"/>
        <v>Premium</v>
      </c>
      <c r="S31" t="str">
        <f t="shared" si="1"/>
        <v>No Interest</v>
      </c>
      <c r="T31" t="str">
        <f t="shared" si="2"/>
        <v>OK</v>
      </c>
      <c r="U31" t="str">
        <f t="shared" si="3"/>
        <v>No inquiries</v>
      </c>
    </row>
    <row r="32" spans="1:21" x14ac:dyDescent="0.25">
      <c r="A32">
        <v>31</v>
      </c>
      <c r="B32" t="s">
        <v>86</v>
      </c>
      <c r="C32" t="s">
        <v>87</v>
      </c>
      <c r="D32" t="s">
        <v>88</v>
      </c>
      <c r="E32" t="s">
        <v>25</v>
      </c>
      <c r="F32">
        <v>4</v>
      </c>
      <c r="G32">
        <v>3</v>
      </c>
      <c r="H32">
        <v>2224</v>
      </c>
      <c r="I32" t="s">
        <v>27</v>
      </c>
      <c r="J32">
        <v>2</v>
      </c>
      <c r="K32">
        <v>2</v>
      </c>
      <c r="L32">
        <v>285500</v>
      </c>
      <c r="M32" t="s">
        <v>21</v>
      </c>
      <c r="N32" t="s">
        <v>89</v>
      </c>
      <c r="O32" s="1">
        <v>46195</v>
      </c>
      <c r="P32">
        <v>0</v>
      </c>
      <c r="Q32">
        <v>128.37</v>
      </c>
      <c r="R32" t="str">
        <f t="shared" si="0"/>
        <v>Premium</v>
      </c>
      <c r="S32" t="str">
        <f t="shared" si="1"/>
        <v>No Interest</v>
      </c>
      <c r="T32" t="str">
        <f t="shared" si="2"/>
        <v>Review Price</v>
      </c>
      <c r="U32" t="str">
        <f t="shared" si="3"/>
        <v>No inquiries</v>
      </c>
    </row>
    <row r="33" spans="1:21" x14ac:dyDescent="0.25">
      <c r="A33">
        <v>32</v>
      </c>
      <c r="B33" t="s">
        <v>90</v>
      </c>
      <c r="C33" t="s">
        <v>87</v>
      </c>
      <c r="D33" t="s">
        <v>91</v>
      </c>
      <c r="E33" t="s">
        <v>19</v>
      </c>
      <c r="F33">
        <v>4</v>
      </c>
      <c r="G33">
        <v>3</v>
      </c>
      <c r="H33">
        <v>1424</v>
      </c>
      <c r="I33" t="s">
        <v>33</v>
      </c>
      <c r="J33">
        <v>2</v>
      </c>
      <c r="K33">
        <v>5</v>
      </c>
      <c r="L33">
        <v>93500</v>
      </c>
      <c r="M33" t="s">
        <v>21</v>
      </c>
      <c r="N33" t="s">
        <v>89</v>
      </c>
      <c r="O33" s="1">
        <v>46264</v>
      </c>
      <c r="P33">
        <v>0</v>
      </c>
      <c r="Q33">
        <v>65.66</v>
      </c>
      <c r="R33" t="str">
        <f t="shared" si="0"/>
        <v>Premium</v>
      </c>
      <c r="S33" t="str">
        <f t="shared" si="1"/>
        <v>No Interest</v>
      </c>
      <c r="T33" t="str">
        <f t="shared" si="2"/>
        <v>Review Price</v>
      </c>
      <c r="U33" t="str">
        <f t="shared" si="3"/>
        <v>No inquiries</v>
      </c>
    </row>
    <row r="34" spans="1:21" x14ac:dyDescent="0.25">
      <c r="A34">
        <v>33</v>
      </c>
      <c r="B34" t="s">
        <v>92</v>
      </c>
      <c r="C34" t="s">
        <v>87</v>
      </c>
      <c r="D34" t="s">
        <v>93</v>
      </c>
      <c r="E34" t="s">
        <v>32</v>
      </c>
      <c r="F34">
        <v>1</v>
      </c>
      <c r="G34">
        <v>1</v>
      </c>
      <c r="H34">
        <v>195</v>
      </c>
      <c r="I34" t="s">
        <v>33</v>
      </c>
      <c r="J34">
        <v>2</v>
      </c>
      <c r="K34">
        <v>5</v>
      </c>
      <c r="L34">
        <v>12500</v>
      </c>
      <c r="M34" t="s">
        <v>21</v>
      </c>
      <c r="N34" t="s">
        <v>89</v>
      </c>
      <c r="O34" s="1">
        <v>46197</v>
      </c>
      <c r="P34">
        <v>0</v>
      </c>
      <c r="Q34">
        <v>64.099999999999994</v>
      </c>
      <c r="R34" t="str">
        <f t="shared" si="0"/>
        <v>Affordable</v>
      </c>
      <c r="S34" t="str">
        <f t="shared" si="1"/>
        <v>No Interest</v>
      </c>
      <c r="T34" t="str">
        <f t="shared" si="2"/>
        <v>Review Price</v>
      </c>
      <c r="U34" t="str">
        <f t="shared" si="3"/>
        <v>No inquiries</v>
      </c>
    </row>
    <row r="35" spans="1:21" x14ac:dyDescent="0.25">
      <c r="A35">
        <v>34</v>
      </c>
      <c r="B35" t="s">
        <v>94</v>
      </c>
      <c r="C35" t="s">
        <v>87</v>
      </c>
      <c r="D35" t="s">
        <v>91</v>
      </c>
      <c r="E35" t="s">
        <v>19</v>
      </c>
      <c r="F35">
        <v>3</v>
      </c>
      <c r="G35">
        <v>3</v>
      </c>
      <c r="H35">
        <v>1284</v>
      </c>
      <c r="I35" t="s">
        <v>27</v>
      </c>
      <c r="J35">
        <v>11</v>
      </c>
      <c r="K35">
        <v>10</v>
      </c>
      <c r="L35">
        <v>109500</v>
      </c>
      <c r="M35" t="s">
        <v>28</v>
      </c>
      <c r="N35" t="s">
        <v>89</v>
      </c>
      <c r="O35" s="1">
        <v>46275</v>
      </c>
      <c r="P35">
        <v>1</v>
      </c>
      <c r="Q35">
        <v>85.28</v>
      </c>
      <c r="R35" t="str">
        <f t="shared" si="0"/>
        <v>Premium</v>
      </c>
      <c r="S35" t="str">
        <f t="shared" si="1"/>
        <v>Normal</v>
      </c>
      <c r="T35" t="str">
        <f t="shared" si="2"/>
        <v>OK</v>
      </c>
      <c r="U35">
        <f t="shared" si="3"/>
        <v>109500</v>
      </c>
    </row>
    <row r="36" spans="1:21" x14ac:dyDescent="0.25">
      <c r="A36">
        <v>35</v>
      </c>
      <c r="B36" t="s">
        <v>95</v>
      </c>
      <c r="C36" t="s">
        <v>87</v>
      </c>
      <c r="D36" t="s">
        <v>88</v>
      </c>
      <c r="E36" t="s">
        <v>19</v>
      </c>
      <c r="F36">
        <v>4</v>
      </c>
      <c r="G36">
        <v>4</v>
      </c>
      <c r="H36">
        <v>1236</v>
      </c>
      <c r="I36" t="s">
        <v>27</v>
      </c>
      <c r="J36">
        <v>3</v>
      </c>
      <c r="K36">
        <v>7</v>
      </c>
      <c r="L36">
        <v>115000</v>
      </c>
      <c r="M36" t="s">
        <v>28</v>
      </c>
      <c r="N36" t="s">
        <v>89</v>
      </c>
      <c r="O36" s="1">
        <v>46197</v>
      </c>
      <c r="P36">
        <v>0</v>
      </c>
      <c r="Q36">
        <v>93.04</v>
      </c>
      <c r="R36" t="str">
        <f t="shared" si="0"/>
        <v>Premium</v>
      </c>
      <c r="S36" t="str">
        <f t="shared" si="1"/>
        <v>No Interest</v>
      </c>
      <c r="T36" t="str">
        <f t="shared" si="2"/>
        <v>OK</v>
      </c>
      <c r="U36" t="str">
        <f t="shared" si="3"/>
        <v>No inquiries</v>
      </c>
    </row>
    <row r="37" spans="1:21" x14ac:dyDescent="0.25">
      <c r="A37">
        <v>36</v>
      </c>
      <c r="B37" t="s">
        <v>96</v>
      </c>
      <c r="C37" t="s">
        <v>97</v>
      </c>
      <c r="D37" t="s">
        <v>98</v>
      </c>
      <c r="E37" t="s">
        <v>19</v>
      </c>
      <c r="F37">
        <v>2</v>
      </c>
      <c r="G37">
        <v>2</v>
      </c>
      <c r="H37">
        <v>758</v>
      </c>
      <c r="I37" t="s">
        <v>20</v>
      </c>
      <c r="J37">
        <v>11</v>
      </c>
      <c r="K37">
        <v>4</v>
      </c>
      <c r="L37">
        <v>26500</v>
      </c>
      <c r="M37" t="s">
        <v>21</v>
      </c>
      <c r="N37" t="s">
        <v>99</v>
      </c>
      <c r="O37" s="1">
        <v>46178</v>
      </c>
      <c r="P37">
        <v>0</v>
      </c>
      <c r="Q37">
        <v>34.96</v>
      </c>
      <c r="R37" t="str">
        <f t="shared" si="0"/>
        <v>Mid-Range</v>
      </c>
      <c r="S37" t="str">
        <f t="shared" si="1"/>
        <v>No Interest</v>
      </c>
      <c r="T37" t="str">
        <f t="shared" si="2"/>
        <v>Review Price</v>
      </c>
      <c r="U37" t="str">
        <f t="shared" si="3"/>
        <v>No inquiries</v>
      </c>
    </row>
    <row r="38" spans="1:21" x14ac:dyDescent="0.25">
      <c r="A38">
        <v>37</v>
      </c>
      <c r="B38" t="s">
        <v>100</v>
      </c>
      <c r="C38" t="s">
        <v>97</v>
      </c>
      <c r="D38" t="s">
        <v>101</v>
      </c>
      <c r="E38" t="s">
        <v>19</v>
      </c>
      <c r="F38">
        <v>3</v>
      </c>
      <c r="G38">
        <v>2</v>
      </c>
      <c r="H38">
        <v>1281</v>
      </c>
      <c r="I38" t="s">
        <v>20</v>
      </c>
      <c r="J38">
        <v>14</v>
      </c>
      <c r="K38">
        <v>8</v>
      </c>
      <c r="L38">
        <v>42000</v>
      </c>
      <c r="M38" t="s">
        <v>28</v>
      </c>
      <c r="N38" t="s">
        <v>99</v>
      </c>
      <c r="O38" s="1">
        <v>46235</v>
      </c>
      <c r="P38">
        <v>0</v>
      </c>
      <c r="Q38">
        <v>32.79</v>
      </c>
      <c r="R38" t="str">
        <f t="shared" si="0"/>
        <v>Mid-Range</v>
      </c>
      <c r="S38" t="str">
        <f t="shared" si="1"/>
        <v>No Interest</v>
      </c>
      <c r="T38" t="str">
        <f t="shared" si="2"/>
        <v>OK</v>
      </c>
      <c r="U38" t="str">
        <f t="shared" si="3"/>
        <v>No inquiries</v>
      </c>
    </row>
    <row r="39" spans="1:21" x14ac:dyDescent="0.25">
      <c r="A39">
        <v>38</v>
      </c>
      <c r="B39" t="s">
        <v>102</v>
      </c>
      <c r="C39" t="s">
        <v>97</v>
      </c>
      <c r="D39" t="s">
        <v>103</v>
      </c>
      <c r="E39" t="s">
        <v>30</v>
      </c>
      <c r="F39">
        <v>4</v>
      </c>
      <c r="G39">
        <v>4</v>
      </c>
      <c r="H39">
        <v>1504</v>
      </c>
      <c r="I39" t="s">
        <v>20</v>
      </c>
      <c r="J39">
        <v>1</v>
      </c>
      <c r="K39">
        <v>9</v>
      </c>
      <c r="L39">
        <v>55500</v>
      </c>
      <c r="M39" t="s">
        <v>21</v>
      </c>
      <c r="N39" t="s">
        <v>99</v>
      </c>
      <c r="O39" s="1">
        <v>46266</v>
      </c>
      <c r="P39">
        <v>1</v>
      </c>
      <c r="Q39">
        <v>36.9</v>
      </c>
      <c r="R39" t="str">
        <f t="shared" si="0"/>
        <v>Premium</v>
      </c>
      <c r="S39" t="str">
        <f t="shared" si="1"/>
        <v>Normal</v>
      </c>
      <c r="T39" t="str">
        <f t="shared" si="2"/>
        <v>Review Price</v>
      </c>
      <c r="U39">
        <f t="shared" si="3"/>
        <v>55500</v>
      </c>
    </row>
    <row r="40" spans="1:21" x14ac:dyDescent="0.25">
      <c r="A40">
        <v>39</v>
      </c>
      <c r="B40" t="s">
        <v>104</v>
      </c>
      <c r="C40" t="s">
        <v>97</v>
      </c>
      <c r="D40" t="s">
        <v>101</v>
      </c>
      <c r="E40" t="s">
        <v>19</v>
      </c>
      <c r="F40">
        <v>4</v>
      </c>
      <c r="G40">
        <v>3</v>
      </c>
      <c r="H40">
        <v>1252</v>
      </c>
      <c r="I40" t="s">
        <v>33</v>
      </c>
      <c r="J40">
        <v>6</v>
      </c>
      <c r="K40">
        <v>1</v>
      </c>
      <c r="L40">
        <v>36000</v>
      </c>
      <c r="M40" t="s">
        <v>21</v>
      </c>
      <c r="N40" t="s">
        <v>99</v>
      </c>
      <c r="O40" s="1">
        <v>46218</v>
      </c>
      <c r="P40">
        <v>2</v>
      </c>
      <c r="Q40">
        <v>28.75</v>
      </c>
      <c r="R40" t="str">
        <f t="shared" si="0"/>
        <v>Mid-Range</v>
      </c>
      <c r="S40" t="str">
        <f t="shared" si="1"/>
        <v>Normal</v>
      </c>
      <c r="T40" t="str">
        <f t="shared" si="2"/>
        <v>OK</v>
      </c>
      <c r="U40">
        <f t="shared" si="3"/>
        <v>18000</v>
      </c>
    </row>
    <row r="41" spans="1:21" x14ac:dyDescent="0.25">
      <c r="A41">
        <v>40</v>
      </c>
      <c r="B41" t="s">
        <v>105</v>
      </c>
      <c r="C41" t="s">
        <v>97</v>
      </c>
      <c r="D41" t="s">
        <v>106</v>
      </c>
      <c r="E41" t="s">
        <v>19</v>
      </c>
      <c r="F41">
        <v>2</v>
      </c>
      <c r="G41">
        <v>2</v>
      </c>
      <c r="H41">
        <v>610</v>
      </c>
      <c r="I41" t="s">
        <v>33</v>
      </c>
      <c r="J41">
        <v>11</v>
      </c>
      <c r="K41">
        <v>2</v>
      </c>
      <c r="L41">
        <v>15500</v>
      </c>
      <c r="M41" t="s">
        <v>28</v>
      </c>
      <c r="N41" t="s">
        <v>99</v>
      </c>
      <c r="O41" s="1">
        <v>46178</v>
      </c>
      <c r="P41">
        <v>0</v>
      </c>
      <c r="Q41">
        <v>25.41</v>
      </c>
      <c r="R41" t="str">
        <f t="shared" si="0"/>
        <v>Affordable</v>
      </c>
      <c r="S41" t="str">
        <f t="shared" si="1"/>
        <v>No Interest</v>
      </c>
      <c r="T41" t="str">
        <f t="shared" si="2"/>
        <v>OK</v>
      </c>
      <c r="U41" t="str">
        <f t="shared" si="3"/>
        <v>No inquiries</v>
      </c>
    </row>
    <row r="42" spans="1:21" x14ac:dyDescent="0.25">
      <c r="A42">
        <v>41</v>
      </c>
      <c r="B42" t="s">
        <v>107</v>
      </c>
      <c r="C42" t="s">
        <v>108</v>
      </c>
      <c r="D42" t="s">
        <v>109</v>
      </c>
      <c r="E42" t="s">
        <v>19</v>
      </c>
      <c r="F42">
        <v>3</v>
      </c>
      <c r="G42">
        <v>3</v>
      </c>
      <c r="H42">
        <v>1104</v>
      </c>
      <c r="I42" t="s">
        <v>33</v>
      </c>
      <c r="J42">
        <v>1</v>
      </c>
      <c r="K42">
        <v>10</v>
      </c>
      <c r="L42">
        <v>43500</v>
      </c>
      <c r="M42" t="s">
        <v>21</v>
      </c>
      <c r="N42" t="s">
        <v>110</v>
      </c>
      <c r="O42" s="1">
        <v>46152</v>
      </c>
      <c r="P42">
        <v>0</v>
      </c>
      <c r="Q42">
        <v>39.4</v>
      </c>
      <c r="R42" t="str">
        <f t="shared" si="0"/>
        <v>Mid-Range</v>
      </c>
      <c r="S42" t="str">
        <f t="shared" si="1"/>
        <v>No Interest</v>
      </c>
      <c r="T42" t="str">
        <f t="shared" si="2"/>
        <v>Review Price</v>
      </c>
      <c r="U42" t="str">
        <f t="shared" si="3"/>
        <v>No inquiries</v>
      </c>
    </row>
    <row r="43" spans="1:21" x14ac:dyDescent="0.25">
      <c r="A43">
        <v>42</v>
      </c>
      <c r="B43" t="s">
        <v>111</v>
      </c>
      <c r="C43" t="s">
        <v>108</v>
      </c>
      <c r="D43" t="s">
        <v>112</v>
      </c>
      <c r="E43" t="s">
        <v>30</v>
      </c>
      <c r="F43">
        <v>4</v>
      </c>
      <c r="G43">
        <v>4</v>
      </c>
      <c r="H43">
        <v>1692</v>
      </c>
      <c r="I43" t="s">
        <v>27</v>
      </c>
      <c r="J43">
        <v>1</v>
      </c>
      <c r="K43">
        <v>9</v>
      </c>
      <c r="L43">
        <v>93000</v>
      </c>
      <c r="M43" t="s">
        <v>21</v>
      </c>
      <c r="N43" t="s">
        <v>110</v>
      </c>
      <c r="O43" s="1">
        <v>46234</v>
      </c>
      <c r="P43">
        <v>2</v>
      </c>
      <c r="Q43">
        <v>54.96</v>
      </c>
      <c r="R43" t="str">
        <f t="shared" si="0"/>
        <v>Premium</v>
      </c>
      <c r="S43" t="str">
        <f t="shared" si="1"/>
        <v>Normal</v>
      </c>
      <c r="T43" t="str">
        <f t="shared" si="2"/>
        <v>Review Price</v>
      </c>
      <c r="U43">
        <f t="shared" si="3"/>
        <v>46500</v>
      </c>
    </row>
    <row r="44" spans="1:21" x14ac:dyDescent="0.25">
      <c r="A44">
        <v>43</v>
      </c>
      <c r="B44" t="s">
        <v>113</v>
      </c>
      <c r="C44" t="s">
        <v>108</v>
      </c>
      <c r="D44" t="s">
        <v>114</v>
      </c>
      <c r="E44" t="s">
        <v>19</v>
      </c>
      <c r="F44">
        <v>3</v>
      </c>
      <c r="G44">
        <v>2</v>
      </c>
      <c r="H44">
        <v>1140</v>
      </c>
      <c r="I44" t="s">
        <v>33</v>
      </c>
      <c r="J44">
        <v>19</v>
      </c>
      <c r="K44">
        <v>4</v>
      </c>
      <c r="L44">
        <v>48500</v>
      </c>
      <c r="M44" t="s">
        <v>21</v>
      </c>
      <c r="N44" t="s">
        <v>110</v>
      </c>
      <c r="O44" s="1">
        <v>46230</v>
      </c>
      <c r="P44">
        <v>2</v>
      </c>
      <c r="Q44">
        <v>42.54</v>
      </c>
      <c r="R44" t="str">
        <f t="shared" si="0"/>
        <v>Premium</v>
      </c>
      <c r="S44" t="str">
        <f t="shared" si="1"/>
        <v>Normal</v>
      </c>
      <c r="T44" t="str">
        <f t="shared" si="2"/>
        <v>Review Price</v>
      </c>
      <c r="U44">
        <f t="shared" si="3"/>
        <v>24250</v>
      </c>
    </row>
    <row r="45" spans="1:21" x14ac:dyDescent="0.25">
      <c r="A45">
        <v>44</v>
      </c>
      <c r="B45" t="s">
        <v>115</v>
      </c>
      <c r="C45" t="s">
        <v>108</v>
      </c>
      <c r="D45" t="s">
        <v>112</v>
      </c>
      <c r="E45" t="s">
        <v>19</v>
      </c>
      <c r="F45">
        <v>1</v>
      </c>
      <c r="G45">
        <v>1</v>
      </c>
      <c r="H45">
        <v>401</v>
      </c>
      <c r="I45" t="s">
        <v>27</v>
      </c>
      <c r="J45">
        <v>7</v>
      </c>
      <c r="K45">
        <v>7</v>
      </c>
      <c r="L45">
        <v>18000</v>
      </c>
      <c r="M45" t="s">
        <v>21</v>
      </c>
      <c r="N45" t="s">
        <v>110</v>
      </c>
      <c r="O45" s="1">
        <v>46219</v>
      </c>
      <c r="P45">
        <v>0</v>
      </c>
      <c r="Q45">
        <v>44.89</v>
      </c>
      <c r="R45" t="str">
        <f t="shared" si="0"/>
        <v>Affordable</v>
      </c>
      <c r="S45" t="str">
        <f t="shared" si="1"/>
        <v>No Interest</v>
      </c>
      <c r="T45" t="str">
        <f t="shared" si="2"/>
        <v>Review Price</v>
      </c>
      <c r="U45" t="str">
        <f t="shared" si="3"/>
        <v>No inquiries</v>
      </c>
    </row>
    <row r="46" spans="1:21" x14ac:dyDescent="0.25">
      <c r="A46">
        <v>45</v>
      </c>
      <c r="B46" t="s">
        <v>116</v>
      </c>
      <c r="C46" t="s">
        <v>108</v>
      </c>
      <c r="D46" t="s">
        <v>117</v>
      </c>
      <c r="E46" t="s">
        <v>32</v>
      </c>
      <c r="F46">
        <v>1</v>
      </c>
      <c r="G46">
        <v>1</v>
      </c>
      <c r="H46">
        <v>137</v>
      </c>
      <c r="I46" t="s">
        <v>33</v>
      </c>
      <c r="J46">
        <v>1</v>
      </c>
      <c r="K46">
        <v>8</v>
      </c>
      <c r="L46">
        <v>5000</v>
      </c>
      <c r="M46" t="s">
        <v>21</v>
      </c>
      <c r="N46" t="s">
        <v>110</v>
      </c>
      <c r="O46" s="1">
        <v>46158</v>
      </c>
      <c r="P46">
        <v>1</v>
      </c>
      <c r="Q46">
        <v>36.5</v>
      </c>
      <c r="R46" t="str">
        <f t="shared" si="0"/>
        <v>Affordable</v>
      </c>
      <c r="S46" t="str">
        <f t="shared" si="1"/>
        <v>Normal</v>
      </c>
      <c r="T46" t="str">
        <f t="shared" si="2"/>
        <v>OK</v>
      </c>
      <c r="U46">
        <f t="shared" si="3"/>
        <v>5000</v>
      </c>
    </row>
    <row r="47" spans="1:21" x14ac:dyDescent="0.25">
      <c r="A47">
        <v>46</v>
      </c>
      <c r="B47" t="s">
        <v>118</v>
      </c>
      <c r="C47" t="s">
        <v>119</v>
      </c>
      <c r="D47" t="s">
        <v>120</v>
      </c>
      <c r="E47" t="s">
        <v>19</v>
      </c>
      <c r="F47">
        <v>4</v>
      </c>
      <c r="G47">
        <v>4</v>
      </c>
      <c r="H47">
        <v>1564</v>
      </c>
      <c r="I47" t="s">
        <v>20</v>
      </c>
      <c r="J47">
        <v>15</v>
      </c>
      <c r="K47">
        <v>5</v>
      </c>
      <c r="L47">
        <v>46500</v>
      </c>
      <c r="M47" t="s">
        <v>21</v>
      </c>
      <c r="N47" t="s">
        <v>22</v>
      </c>
      <c r="O47" s="1">
        <v>46274</v>
      </c>
      <c r="P47">
        <v>4</v>
      </c>
      <c r="Q47">
        <v>29.73</v>
      </c>
      <c r="R47" t="str">
        <f t="shared" si="0"/>
        <v>Premium</v>
      </c>
      <c r="S47" t="str">
        <f t="shared" si="1"/>
        <v>High Demand</v>
      </c>
      <c r="T47" t="str">
        <f t="shared" si="2"/>
        <v>Review Price</v>
      </c>
      <c r="U47">
        <f t="shared" si="3"/>
        <v>11625</v>
      </c>
    </row>
    <row r="48" spans="1:21" x14ac:dyDescent="0.25">
      <c r="A48">
        <v>47</v>
      </c>
      <c r="B48" t="s">
        <v>121</v>
      </c>
      <c r="C48" t="s">
        <v>119</v>
      </c>
      <c r="D48" t="s">
        <v>122</v>
      </c>
      <c r="E48" t="s">
        <v>19</v>
      </c>
      <c r="F48">
        <v>1</v>
      </c>
      <c r="G48">
        <v>1</v>
      </c>
      <c r="H48">
        <v>398</v>
      </c>
      <c r="I48" t="s">
        <v>27</v>
      </c>
      <c r="J48">
        <v>16</v>
      </c>
      <c r="K48">
        <v>2</v>
      </c>
      <c r="L48">
        <v>15000</v>
      </c>
      <c r="M48" t="s">
        <v>28</v>
      </c>
      <c r="N48" t="s">
        <v>22</v>
      </c>
      <c r="O48" s="1">
        <v>46306</v>
      </c>
      <c r="P48">
        <v>2</v>
      </c>
      <c r="Q48">
        <v>37.69</v>
      </c>
      <c r="R48" t="str">
        <f t="shared" si="0"/>
        <v>Affordable</v>
      </c>
      <c r="S48" t="str">
        <f t="shared" si="1"/>
        <v>Normal</v>
      </c>
      <c r="T48" t="str">
        <f t="shared" si="2"/>
        <v>OK</v>
      </c>
      <c r="U48">
        <f t="shared" si="3"/>
        <v>7500</v>
      </c>
    </row>
    <row r="49" spans="1:21" x14ac:dyDescent="0.25">
      <c r="A49">
        <v>48</v>
      </c>
      <c r="B49" t="s">
        <v>123</v>
      </c>
      <c r="C49" t="s">
        <v>119</v>
      </c>
      <c r="D49" t="s">
        <v>124</v>
      </c>
      <c r="E49" t="s">
        <v>30</v>
      </c>
      <c r="F49">
        <v>5</v>
      </c>
      <c r="G49">
        <v>5</v>
      </c>
      <c r="H49">
        <v>2025</v>
      </c>
      <c r="I49" t="s">
        <v>33</v>
      </c>
      <c r="J49">
        <v>2</v>
      </c>
      <c r="K49">
        <v>6</v>
      </c>
      <c r="L49">
        <v>60500</v>
      </c>
      <c r="M49" t="s">
        <v>21</v>
      </c>
      <c r="N49" t="s">
        <v>22</v>
      </c>
      <c r="O49" s="1">
        <v>46236</v>
      </c>
      <c r="P49">
        <v>0</v>
      </c>
      <c r="Q49">
        <v>29.88</v>
      </c>
      <c r="R49" t="str">
        <f t="shared" si="0"/>
        <v>Premium</v>
      </c>
      <c r="S49" t="str">
        <f t="shared" si="1"/>
        <v>No Interest</v>
      </c>
      <c r="T49" t="str">
        <f t="shared" si="2"/>
        <v>Review Price</v>
      </c>
      <c r="U49" t="str">
        <f t="shared" si="3"/>
        <v>No inquiries</v>
      </c>
    </row>
    <row r="50" spans="1:21" x14ac:dyDescent="0.25">
      <c r="A50">
        <v>49</v>
      </c>
      <c r="B50" t="s">
        <v>125</v>
      </c>
      <c r="C50" t="s">
        <v>119</v>
      </c>
      <c r="D50" t="s">
        <v>124</v>
      </c>
      <c r="E50" t="s">
        <v>32</v>
      </c>
      <c r="F50">
        <v>1</v>
      </c>
      <c r="G50">
        <v>1</v>
      </c>
      <c r="H50">
        <v>156</v>
      </c>
      <c r="I50" t="s">
        <v>33</v>
      </c>
      <c r="J50">
        <v>1</v>
      </c>
      <c r="K50">
        <v>2</v>
      </c>
      <c r="L50">
        <v>4000</v>
      </c>
      <c r="M50" t="s">
        <v>21</v>
      </c>
      <c r="N50" t="s">
        <v>22</v>
      </c>
      <c r="O50" s="1">
        <v>46223</v>
      </c>
      <c r="P50">
        <v>0</v>
      </c>
      <c r="Q50">
        <v>25.64</v>
      </c>
      <c r="R50" t="str">
        <f t="shared" si="0"/>
        <v>Affordable</v>
      </c>
      <c r="S50" t="str">
        <f t="shared" si="1"/>
        <v>No Interest</v>
      </c>
      <c r="T50" t="str">
        <f t="shared" si="2"/>
        <v>Review Price</v>
      </c>
      <c r="U50" t="str">
        <f t="shared" si="3"/>
        <v>No inquiries</v>
      </c>
    </row>
    <row r="51" spans="1:21" x14ac:dyDescent="0.25">
      <c r="A51">
        <v>50</v>
      </c>
      <c r="B51" t="s">
        <v>126</v>
      </c>
      <c r="C51" t="s">
        <v>119</v>
      </c>
      <c r="D51" t="s">
        <v>127</v>
      </c>
      <c r="E51" t="s">
        <v>30</v>
      </c>
      <c r="F51">
        <v>2</v>
      </c>
      <c r="G51">
        <v>2</v>
      </c>
      <c r="H51">
        <v>838</v>
      </c>
      <c r="I51" t="s">
        <v>20</v>
      </c>
      <c r="J51">
        <v>2</v>
      </c>
      <c r="K51">
        <v>8</v>
      </c>
      <c r="L51">
        <v>32500</v>
      </c>
      <c r="M51" t="s">
        <v>21</v>
      </c>
      <c r="N51" t="s">
        <v>22</v>
      </c>
      <c r="O51" s="1">
        <v>46304</v>
      </c>
      <c r="P51">
        <v>1</v>
      </c>
      <c r="Q51">
        <v>38.78</v>
      </c>
      <c r="R51" t="str">
        <f t="shared" si="0"/>
        <v>Mid-Range</v>
      </c>
      <c r="S51" t="str">
        <f t="shared" si="1"/>
        <v>Normal</v>
      </c>
      <c r="T51" t="str">
        <f t="shared" si="2"/>
        <v>OK</v>
      </c>
      <c r="U51">
        <f t="shared" si="3"/>
        <v>32500</v>
      </c>
    </row>
    <row r="52" spans="1:21" x14ac:dyDescent="0.25">
      <c r="A52">
        <v>51</v>
      </c>
      <c r="B52" t="s">
        <v>128</v>
      </c>
      <c r="C52" t="s">
        <v>129</v>
      </c>
      <c r="D52" t="s">
        <v>130</v>
      </c>
      <c r="E52" t="s">
        <v>19</v>
      </c>
      <c r="F52">
        <v>4</v>
      </c>
      <c r="G52">
        <v>4</v>
      </c>
      <c r="H52">
        <v>1472</v>
      </c>
      <c r="I52" t="s">
        <v>33</v>
      </c>
      <c r="J52">
        <v>16</v>
      </c>
      <c r="K52">
        <v>5</v>
      </c>
      <c r="L52">
        <v>28500</v>
      </c>
      <c r="M52" t="s">
        <v>21</v>
      </c>
      <c r="N52" t="s">
        <v>37</v>
      </c>
      <c r="O52" s="1">
        <v>46248</v>
      </c>
      <c r="P52">
        <v>0</v>
      </c>
      <c r="Q52">
        <v>19.36</v>
      </c>
      <c r="R52" t="str">
        <f t="shared" si="0"/>
        <v>Mid-Range</v>
      </c>
      <c r="S52" t="str">
        <f t="shared" si="1"/>
        <v>No Interest</v>
      </c>
      <c r="T52" t="str">
        <f t="shared" si="2"/>
        <v>Review Price</v>
      </c>
      <c r="U52" t="str">
        <f t="shared" si="3"/>
        <v>No inquiries</v>
      </c>
    </row>
    <row r="53" spans="1:21" x14ac:dyDescent="0.25">
      <c r="A53">
        <v>52</v>
      </c>
      <c r="B53" t="s">
        <v>131</v>
      </c>
      <c r="C53" t="s">
        <v>129</v>
      </c>
      <c r="D53" t="s">
        <v>132</v>
      </c>
      <c r="E53" t="s">
        <v>19</v>
      </c>
      <c r="F53">
        <v>3</v>
      </c>
      <c r="G53">
        <v>3</v>
      </c>
      <c r="H53">
        <v>1128</v>
      </c>
      <c r="I53" t="s">
        <v>20</v>
      </c>
      <c r="J53">
        <v>1</v>
      </c>
      <c r="K53">
        <v>5</v>
      </c>
      <c r="L53">
        <v>20500</v>
      </c>
      <c r="M53" t="s">
        <v>28</v>
      </c>
      <c r="N53" t="s">
        <v>37</v>
      </c>
      <c r="O53" s="1">
        <v>46159</v>
      </c>
      <c r="P53">
        <v>1</v>
      </c>
      <c r="Q53">
        <v>18.170000000000002</v>
      </c>
      <c r="R53" t="str">
        <f t="shared" si="0"/>
        <v>Mid-Range</v>
      </c>
      <c r="S53" t="str">
        <f t="shared" si="1"/>
        <v>Normal</v>
      </c>
      <c r="T53" t="str">
        <f t="shared" si="2"/>
        <v>OK</v>
      </c>
      <c r="U53">
        <f t="shared" si="3"/>
        <v>20500</v>
      </c>
    </row>
    <row r="54" spans="1:21" x14ac:dyDescent="0.25">
      <c r="A54">
        <v>53</v>
      </c>
      <c r="B54" t="s">
        <v>133</v>
      </c>
      <c r="C54" t="s">
        <v>129</v>
      </c>
      <c r="D54" t="s">
        <v>134</v>
      </c>
      <c r="E54" t="s">
        <v>19</v>
      </c>
      <c r="F54">
        <v>3</v>
      </c>
      <c r="G54">
        <v>2</v>
      </c>
      <c r="H54">
        <v>984</v>
      </c>
      <c r="I54" t="s">
        <v>20</v>
      </c>
      <c r="J54">
        <v>9</v>
      </c>
      <c r="K54">
        <v>1</v>
      </c>
      <c r="L54">
        <v>19500</v>
      </c>
      <c r="M54" t="s">
        <v>21</v>
      </c>
      <c r="N54" t="s">
        <v>37</v>
      </c>
      <c r="O54" s="1">
        <v>46277</v>
      </c>
      <c r="P54">
        <v>1</v>
      </c>
      <c r="Q54">
        <v>19.82</v>
      </c>
      <c r="R54" t="str">
        <f t="shared" si="0"/>
        <v>Affordable</v>
      </c>
      <c r="S54" t="str">
        <f t="shared" si="1"/>
        <v>Normal</v>
      </c>
      <c r="T54" t="str">
        <f t="shared" si="2"/>
        <v>OK</v>
      </c>
      <c r="U54">
        <f t="shared" si="3"/>
        <v>19500</v>
      </c>
    </row>
    <row r="55" spans="1:21" x14ac:dyDescent="0.25">
      <c r="A55">
        <v>54</v>
      </c>
      <c r="B55" t="s">
        <v>135</v>
      </c>
      <c r="C55" t="s">
        <v>129</v>
      </c>
      <c r="D55" t="s">
        <v>134</v>
      </c>
      <c r="E55" t="s">
        <v>30</v>
      </c>
      <c r="F55">
        <v>3</v>
      </c>
      <c r="G55">
        <v>2</v>
      </c>
      <c r="H55">
        <v>1287</v>
      </c>
      <c r="I55" t="s">
        <v>20</v>
      </c>
      <c r="J55">
        <v>2</v>
      </c>
      <c r="K55">
        <v>7</v>
      </c>
      <c r="L55">
        <v>25000</v>
      </c>
      <c r="M55" t="s">
        <v>28</v>
      </c>
      <c r="N55" t="s">
        <v>37</v>
      </c>
      <c r="O55" s="1">
        <v>46257</v>
      </c>
      <c r="P55">
        <v>1</v>
      </c>
      <c r="Q55">
        <v>19.43</v>
      </c>
      <c r="R55" t="str">
        <f t="shared" si="0"/>
        <v>Mid-Range</v>
      </c>
      <c r="S55" t="str">
        <f t="shared" si="1"/>
        <v>Normal</v>
      </c>
      <c r="T55" t="str">
        <f t="shared" si="2"/>
        <v>OK</v>
      </c>
      <c r="U55">
        <f t="shared" si="3"/>
        <v>25000</v>
      </c>
    </row>
    <row r="56" spans="1:21" x14ac:dyDescent="0.25">
      <c r="A56">
        <v>55</v>
      </c>
      <c r="B56" t="s">
        <v>136</v>
      </c>
      <c r="C56" t="s">
        <v>129</v>
      </c>
      <c r="D56" t="s">
        <v>134</v>
      </c>
      <c r="E56" t="s">
        <v>30</v>
      </c>
      <c r="F56">
        <v>2</v>
      </c>
      <c r="G56">
        <v>1</v>
      </c>
      <c r="H56">
        <v>792</v>
      </c>
      <c r="I56" t="s">
        <v>20</v>
      </c>
      <c r="J56">
        <v>2</v>
      </c>
      <c r="K56">
        <v>0</v>
      </c>
      <c r="L56">
        <v>17000</v>
      </c>
      <c r="M56" t="s">
        <v>28</v>
      </c>
      <c r="N56" t="s">
        <v>37</v>
      </c>
      <c r="O56" s="1">
        <v>46221</v>
      </c>
      <c r="P56">
        <v>0</v>
      </c>
      <c r="Q56">
        <v>21.46</v>
      </c>
      <c r="R56" t="str">
        <f t="shared" si="0"/>
        <v>Affordable</v>
      </c>
      <c r="S56" t="str">
        <f t="shared" si="1"/>
        <v>No Interest</v>
      </c>
      <c r="T56" t="str">
        <f t="shared" si="2"/>
        <v>OK</v>
      </c>
      <c r="U56" t="str">
        <f t="shared" si="3"/>
        <v>No inquiries</v>
      </c>
    </row>
    <row r="57" spans="1:21" x14ac:dyDescent="0.25">
      <c r="A57">
        <v>56</v>
      </c>
      <c r="B57" t="s">
        <v>137</v>
      </c>
      <c r="C57" t="s">
        <v>138</v>
      </c>
      <c r="D57" t="s">
        <v>139</v>
      </c>
      <c r="E57" t="s">
        <v>19</v>
      </c>
      <c r="F57">
        <v>1</v>
      </c>
      <c r="G57">
        <v>1</v>
      </c>
      <c r="H57">
        <v>327</v>
      </c>
      <c r="I57" t="s">
        <v>20</v>
      </c>
      <c r="J57">
        <v>6</v>
      </c>
      <c r="K57">
        <v>4</v>
      </c>
      <c r="L57">
        <v>6000</v>
      </c>
      <c r="M57" t="s">
        <v>21</v>
      </c>
      <c r="N57" t="s">
        <v>46</v>
      </c>
      <c r="O57" s="1">
        <v>46237</v>
      </c>
      <c r="P57">
        <v>0</v>
      </c>
      <c r="Q57">
        <v>18.350000000000001</v>
      </c>
      <c r="R57" t="str">
        <f t="shared" si="0"/>
        <v>Affordable</v>
      </c>
      <c r="S57" t="str">
        <f t="shared" si="1"/>
        <v>No Interest</v>
      </c>
      <c r="T57" t="str">
        <f t="shared" si="2"/>
        <v>Review Price</v>
      </c>
      <c r="U57" t="str">
        <f t="shared" si="3"/>
        <v>No inquiries</v>
      </c>
    </row>
    <row r="58" spans="1:21" x14ac:dyDescent="0.25">
      <c r="A58">
        <v>57</v>
      </c>
      <c r="B58" t="s">
        <v>140</v>
      </c>
      <c r="C58" t="s">
        <v>138</v>
      </c>
      <c r="D58" t="s">
        <v>141</v>
      </c>
      <c r="E58" t="s">
        <v>30</v>
      </c>
      <c r="F58">
        <v>4</v>
      </c>
      <c r="G58">
        <v>3</v>
      </c>
      <c r="H58">
        <v>1648</v>
      </c>
      <c r="I58" t="s">
        <v>33</v>
      </c>
      <c r="J58">
        <v>1</v>
      </c>
      <c r="K58">
        <v>5</v>
      </c>
      <c r="L58">
        <v>25500</v>
      </c>
      <c r="M58" t="s">
        <v>28</v>
      </c>
      <c r="N58" t="s">
        <v>46</v>
      </c>
      <c r="O58" s="1">
        <v>46183</v>
      </c>
      <c r="P58">
        <v>1</v>
      </c>
      <c r="Q58">
        <v>15.47</v>
      </c>
      <c r="R58" t="str">
        <f t="shared" si="0"/>
        <v>Mid-Range</v>
      </c>
      <c r="S58" t="str">
        <f t="shared" si="1"/>
        <v>Normal</v>
      </c>
      <c r="T58" t="str">
        <f t="shared" si="2"/>
        <v>OK</v>
      </c>
      <c r="U58">
        <f t="shared" si="3"/>
        <v>25500</v>
      </c>
    </row>
    <row r="59" spans="1:21" x14ac:dyDescent="0.25">
      <c r="A59">
        <v>58</v>
      </c>
      <c r="B59" t="s">
        <v>142</v>
      </c>
      <c r="C59" t="s">
        <v>138</v>
      </c>
      <c r="D59" t="s">
        <v>143</v>
      </c>
      <c r="E59" t="s">
        <v>19</v>
      </c>
      <c r="F59">
        <v>3</v>
      </c>
      <c r="G59">
        <v>2</v>
      </c>
      <c r="H59">
        <v>924</v>
      </c>
      <c r="I59" t="s">
        <v>33</v>
      </c>
      <c r="J59">
        <v>9</v>
      </c>
      <c r="K59">
        <v>4</v>
      </c>
      <c r="L59">
        <v>14000</v>
      </c>
      <c r="M59" t="s">
        <v>28</v>
      </c>
      <c r="N59" t="s">
        <v>46</v>
      </c>
      <c r="O59" s="1">
        <v>46292</v>
      </c>
      <c r="P59">
        <v>1</v>
      </c>
      <c r="Q59">
        <v>15.15</v>
      </c>
      <c r="R59" t="str">
        <f t="shared" si="0"/>
        <v>Affordable</v>
      </c>
      <c r="S59" t="str">
        <f t="shared" si="1"/>
        <v>Normal</v>
      </c>
      <c r="T59" t="str">
        <f t="shared" si="2"/>
        <v>OK</v>
      </c>
      <c r="U59">
        <f t="shared" si="3"/>
        <v>14000</v>
      </c>
    </row>
    <row r="60" spans="1:21" x14ac:dyDescent="0.25">
      <c r="A60">
        <v>59</v>
      </c>
      <c r="B60" t="s">
        <v>144</v>
      </c>
      <c r="C60" t="s">
        <v>138</v>
      </c>
      <c r="D60" t="s">
        <v>143</v>
      </c>
      <c r="E60" t="s">
        <v>19</v>
      </c>
      <c r="F60">
        <v>1</v>
      </c>
      <c r="G60">
        <v>1</v>
      </c>
      <c r="H60">
        <v>334</v>
      </c>
      <c r="I60" t="s">
        <v>27</v>
      </c>
      <c r="J60">
        <v>2</v>
      </c>
      <c r="K60">
        <v>3</v>
      </c>
      <c r="L60">
        <v>6500</v>
      </c>
      <c r="M60" t="s">
        <v>21</v>
      </c>
      <c r="N60" t="s">
        <v>46</v>
      </c>
      <c r="O60" s="1">
        <v>46246</v>
      </c>
      <c r="P60">
        <v>1</v>
      </c>
      <c r="Q60">
        <v>19.46</v>
      </c>
      <c r="R60" t="str">
        <f t="shared" si="0"/>
        <v>Affordable</v>
      </c>
      <c r="S60" t="str">
        <f t="shared" si="1"/>
        <v>Normal</v>
      </c>
      <c r="T60" t="str">
        <f t="shared" si="2"/>
        <v>OK</v>
      </c>
      <c r="U60">
        <f t="shared" si="3"/>
        <v>6500</v>
      </c>
    </row>
    <row r="61" spans="1:21" x14ac:dyDescent="0.25">
      <c r="A61">
        <v>60</v>
      </c>
      <c r="B61" t="s">
        <v>145</v>
      </c>
      <c r="C61" t="s">
        <v>138</v>
      </c>
      <c r="D61" t="s">
        <v>139</v>
      </c>
      <c r="E61" t="s">
        <v>19</v>
      </c>
      <c r="F61">
        <v>4</v>
      </c>
      <c r="G61">
        <v>4</v>
      </c>
      <c r="H61">
        <v>1332</v>
      </c>
      <c r="I61" t="s">
        <v>33</v>
      </c>
      <c r="J61">
        <v>13</v>
      </c>
      <c r="K61">
        <v>1</v>
      </c>
      <c r="L61">
        <v>22000</v>
      </c>
      <c r="M61" t="s">
        <v>21</v>
      </c>
      <c r="N61" t="s">
        <v>46</v>
      </c>
      <c r="O61" s="1">
        <v>46315</v>
      </c>
      <c r="P61">
        <v>1</v>
      </c>
      <c r="Q61">
        <v>16.52</v>
      </c>
      <c r="R61" t="str">
        <f t="shared" si="0"/>
        <v>Mid-Range</v>
      </c>
      <c r="S61" t="str">
        <f t="shared" si="1"/>
        <v>Normal</v>
      </c>
      <c r="T61" t="str">
        <f t="shared" si="2"/>
        <v>OK</v>
      </c>
      <c r="U61">
        <f t="shared" si="3"/>
        <v>22000</v>
      </c>
    </row>
  </sheetData>
  <conditionalFormatting sqref="A1:U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DEEC-F695-4E29-96E2-B7EF9E2FC563}">
  <dimension ref="A1:F13"/>
  <sheetViews>
    <sheetView workbookViewId="0">
      <selection activeCell="H1" sqref="H1"/>
    </sheetView>
  </sheetViews>
  <sheetFormatPr defaultRowHeight="15" x14ac:dyDescent="0.25"/>
  <cols>
    <col min="1" max="1" width="11.28515625" bestFit="1" customWidth="1"/>
    <col min="2" max="3" width="10" bestFit="1" customWidth="1"/>
    <col min="4" max="4" width="13.7109375" bestFit="1" customWidth="1"/>
    <col min="5" max="5" width="7.140625" bestFit="1" customWidth="1"/>
    <col min="6" max="6" width="10.42578125" bestFit="1" customWidth="1"/>
  </cols>
  <sheetData>
    <row r="1" spans="1:6" x14ac:dyDescent="0.25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</row>
    <row r="2" spans="1:6" x14ac:dyDescent="0.25">
      <c r="A2" t="s">
        <v>17</v>
      </c>
      <c r="B2">
        <f>COUNTIF(Data!C:C,A2)</f>
        <v>5</v>
      </c>
      <c r="C2">
        <f>ROUND(AVERAGEIF(Data!C:C,A2,Data!L:L),0)</f>
        <v>48500</v>
      </c>
      <c r="D2">
        <f>SUMIF(Data!C:C,A2,Data!P:P)</f>
        <v>4</v>
      </c>
      <c r="E2">
        <f>COUNTIFS(Data!C:C,A2,Data!M:M,"Available")</f>
        <v>2</v>
      </c>
      <c r="F2">
        <f>ROUND(E2/B2*100,1)</f>
        <v>40</v>
      </c>
    </row>
    <row r="3" spans="1:6" x14ac:dyDescent="0.25">
      <c r="A3" t="s">
        <v>35</v>
      </c>
      <c r="B3">
        <f>COUNTIF(Data!C:C,A3)</f>
        <v>5</v>
      </c>
      <c r="C3">
        <f>ROUND(AVERAGEIF(Data!C:C,A3,Data!L:L),0)</f>
        <v>22300</v>
      </c>
      <c r="D3">
        <f>SUMIF(Data!C:C,A3,Data!P:P)</f>
        <v>5</v>
      </c>
      <c r="E3">
        <f>COUNTIFS(Data!C:C,A3,Data!M:M,"Available")</f>
        <v>3</v>
      </c>
      <c r="F3">
        <f t="shared" ref="F3:F13" si="0">ROUND(E3/B3*100,1)</f>
        <v>60</v>
      </c>
    </row>
    <row r="4" spans="1:6" x14ac:dyDescent="0.25">
      <c r="A4" t="s">
        <v>44</v>
      </c>
      <c r="B4">
        <f>COUNTIF(Data!C:C,A4)</f>
        <v>5</v>
      </c>
      <c r="C4">
        <f>ROUND(AVERAGEIF(Data!C:C,A4,Data!L:L),0)</f>
        <v>16200</v>
      </c>
      <c r="D4">
        <f>SUMIF(Data!C:C,A4,Data!P:P)</f>
        <v>6</v>
      </c>
      <c r="E4">
        <f>COUNTIFS(Data!C:C,A4,Data!M:M,"Available")</f>
        <v>3</v>
      </c>
      <c r="F4">
        <f t="shared" si="0"/>
        <v>60</v>
      </c>
    </row>
    <row r="5" spans="1:6" x14ac:dyDescent="0.25">
      <c r="A5" t="s">
        <v>54</v>
      </c>
      <c r="B5">
        <f>COUNTIF(Data!C:C,A5)</f>
        <v>5</v>
      </c>
      <c r="C5">
        <f>ROUND(AVERAGEIF(Data!C:C,A5,Data!L:L),0)</f>
        <v>37200</v>
      </c>
      <c r="D5">
        <f>SUMIF(Data!C:C,A5,Data!P:P)</f>
        <v>6</v>
      </c>
      <c r="E5">
        <f>COUNTIFS(Data!C:C,A5,Data!M:M,"Available")</f>
        <v>4</v>
      </c>
      <c r="F5">
        <f t="shared" si="0"/>
        <v>80</v>
      </c>
    </row>
    <row r="6" spans="1:6" x14ac:dyDescent="0.25">
      <c r="A6" t="s">
        <v>65</v>
      </c>
      <c r="B6">
        <f>COUNTIF(Data!C:C,A6)</f>
        <v>5</v>
      </c>
      <c r="C6">
        <f>ROUND(AVERAGEIF(Data!C:C,A6,Data!L:L),0)</f>
        <v>34600</v>
      </c>
      <c r="D6">
        <f>SUMIF(Data!C:C,A6,Data!P:P)</f>
        <v>3</v>
      </c>
      <c r="E6">
        <f>COUNTIFS(Data!C:C,A6,Data!M:M,"Available")</f>
        <v>3</v>
      </c>
      <c r="F6">
        <f t="shared" si="0"/>
        <v>60</v>
      </c>
    </row>
    <row r="7" spans="1:6" x14ac:dyDescent="0.25">
      <c r="A7" t="s">
        <v>76</v>
      </c>
      <c r="B7">
        <f>COUNTIF(Data!C:C,A7)</f>
        <v>5</v>
      </c>
      <c r="C7">
        <f>ROUND(AVERAGEIF(Data!C:C,A7,Data!L:L),0)</f>
        <v>32700</v>
      </c>
      <c r="D7">
        <f>SUMIF(Data!C:C,A7,Data!P:P)</f>
        <v>3</v>
      </c>
      <c r="E7">
        <f>COUNTIFS(Data!C:C,A7,Data!M:M,"Available")</f>
        <v>3</v>
      </c>
      <c r="F7">
        <f t="shared" si="0"/>
        <v>60</v>
      </c>
    </row>
    <row r="8" spans="1:6" x14ac:dyDescent="0.25">
      <c r="A8" t="s">
        <v>87</v>
      </c>
      <c r="B8">
        <f>COUNTIF(Data!C:C,A8)</f>
        <v>5</v>
      </c>
      <c r="C8">
        <f>ROUND(AVERAGEIF(Data!C:C,A8,Data!L:L),0)</f>
        <v>123200</v>
      </c>
      <c r="D8">
        <f>SUMIF(Data!C:C,A8,Data!P:P)</f>
        <v>1</v>
      </c>
      <c r="E8">
        <f>COUNTIFS(Data!C:C,A8,Data!M:M,"Available")</f>
        <v>3</v>
      </c>
      <c r="F8">
        <f t="shared" si="0"/>
        <v>60</v>
      </c>
    </row>
    <row r="9" spans="1:6" x14ac:dyDescent="0.25">
      <c r="A9" t="s">
        <v>97</v>
      </c>
      <c r="B9">
        <f>COUNTIF(Data!C:C,A9)</f>
        <v>5</v>
      </c>
      <c r="C9">
        <f>ROUND(AVERAGEIF(Data!C:C,A9,Data!L:L),0)</f>
        <v>35100</v>
      </c>
      <c r="D9">
        <f>SUMIF(Data!C:C,A9,Data!P:P)</f>
        <v>3</v>
      </c>
      <c r="E9">
        <f>COUNTIFS(Data!C:C,A9,Data!M:M,"Available")</f>
        <v>3</v>
      </c>
      <c r="F9">
        <f t="shared" si="0"/>
        <v>60</v>
      </c>
    </row>
    <row r="10" spans="1:6" x14ac:dyDescent="0.25">
      <c r="A10" t="s">
        <v>108</v>
      </c>
      <c r="B10">
        <f>COUNTIF(Data!C:C,A10)</f>
        <v>5</v>
      </c>
      <c r="C10">
        <f>ROUND(AVERAGEIF(Data!C:C,A10,Data!L:L),0)</f>
        <v>41600</v>
      </c>
      <c r="D10">
        <f>SUMIF(Data!C:C,A10,Data!P:P)</f>
        <v>5</v>
      </c>
      <c r="E10">
        <f>COUNTIFS(Data!C:C,A10,Data!M:M,"Available")</f>
        <v>5</v>
      </c>
      <c r="F10">
        <f t="shared" si="0"/>
        <v>100</v>
      </c>
    </row>
    <row r="11" spans="1:6" x14ac:dyDescent="0.25">
      <c r="A11" t="s">
        <v>119</v>
      </c>
      <c r="B11">
        <f>COUNTIF(Data!C:C,A11)</f>
        <v>5</v>
      </c>
      <c r="C11">
        <f>ROUND(AVERAGEIF(Data!C:C,A11,Data!L:L),0)</f>
        <v>31700</v>
      </c>
      <c r="D11">
        <f>SUMIF(Data!C:C,A11,Data!P:P)</f>
        <v>7</v>
      </c>
      <c r="E11">
        <f>COUNTIFS(Data!C:C,A11,Data!M:M,"Available")</f>
        <v>4</v>
      </c>
      <c r="F11">
        <f t="shared" si="0"/>
        <v>80</v>
      </c>
    </row>
    <row r="12" spans="1:6" x14ac:dyDescent="0.25">
      <c r="A12" t="s">
        <v>129</v>
      </c>
      <c r="B12">
        <f>COUNTIF(Data!C:C,A12)</f>
        <v>5</v>
      </c>
      <c r="C12">
        <f>ROUND(AVERAGEIF(Data!C:C,A12,Data!L:L),0)</f>
        <v>22100</v>
      </c>
      <c r="D12">
        <f>SUMIF(Data!C:C,A12,Data!P:P)</f>
        <v>3</v>
      </c>
      <c r="E12">
        <f>COUNTIFS(Data!C:C,A12,Data!M:M,"Available")</f>
        <v>2</v>
      </c>
      <c r="F12">
        <f t="shared" si="0"/>
        <v>40</v>
      </c>
    </row>
    <row r="13" spans="1:6" x14ac:dyDescent="0.25">
      <c r="A13" t="s">
        <v>138</v>
      </c>
      <c r="B13">
        <f>COUNTIF(Data!C:C,A13)</f>
        <v>5</v>
      </c>
      <c r="C13">
        <f>ROUND(AVERAGEIF(Data!C:C,A13,Data!L:L),0)</f>
        <v>14800</v>
      </c>
      <c r="D13">
        <f>SUMIF(Data!C:C,A13,Data!P:P)</f>
        <v>4</v>
      </c>
      <c r="E13">
        <f>COUNTIFS(Data!C:C,A13,Data!M:M,"Available")</f>
        <v>3</v>
      </c>
      <c r="F13">
        <f t="shared" si="0"/>
        <v>60</v>
      </c>
    </row>
  </sheetData>
  <conditionalFormatting sqref="A1:F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957A-3E37-4B35-8392-EBB44A696E21}">
  <dimension ref="A2:J35"/>
  <sheetViews>
    <sheetView tabSelected="1" workbookViewId="0">
      <selection activeCell="G17" sqref="G17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9.140625" bestFit="1" customWidth="1"/>
    <col min="4" max="4" width="10.140625" bestFit="1" customWidth="1"/>
    <col min="5" max="5" width="7" bestFit="1" customWidth="1"/>
    <col min="6" max="6" width="11.28515625" bestFit="1" customWidth="1"/>
    <col min="9" max="9" width="13.42578125" bestFit="1" customWidth="1"/>
    <col min="10" max="10" width="20.28515625" bestFit="1" customWidth="1"/>
  </cols>
  <sheetData>
    <row r="2" spans="1:10" x14ac:dyDescent="0.25">
      <c r="A2" s="7" t="s">
        <v>161</v>
      </c>
      <c r="B2" s="6"/>
      <c r="C2" s="6"/>
      <c r="D2" s="6"/>
      <c r="E2" s="6"/>
      <c r="F2" s="6"/>
      <c r="I2" s="7" t="s">
        <v>171</v>
      </c>
      <c r="J2" s="7"/>
    </row>
    <row r="3" spans="1:10" x14ac:dyDescent="0.25">
      <c r="A3" s="3" t="s">
        <v>160</v>
      </c>
      <c r="B3" s="3" t="s">
        <v>159</v>
      </c>
      <c r="I3" s="3" t="s">
        <v>157</v>
      </c>
      <c r="J3" t="s">
        <v>169</v>
      </c>
    </row>
    <row r="4" spans="1:10" x14ac:dyDescent="0.25">
      <c r="A4" s="3" t="s">
        <v>157</v>
      </c>
      <c r="B4" t="s">
        <v>19</v>
      </c>
      <c r="C4" t="s">
        <v>30</v>
      </c>
      <c r="D4" t="s">
        <v>32</v>
      </c>
      <c r="E4" t="s">
        <v>25</v>
      </c>
      <c r="F4" t="s">
        <v>158</v>
      </c>
      <c r="I4" s="4" t="s">
        <v>163</v>
      </c>
      <c r="J4" s="5">
        <v>4</v>
      </c>
    </row>
    <row r="5" spans="1:10" x14ac:dyDescent="0.25">
      <c r="A5" s="4" t="s">
        <v>108</v>
      </c>
      <c r="B5" s="5">
        <v>110000</v>
      </c>
      <c r="C5" s="5">
        <v>93000</v>
      </c>
      <c r="D5" s="5">
        <v>5000</v>
      </c>
      <c r="E5" s="5"/>
      <c r="F5" s="5">
        <v>208000</v>
      </c>
      <c r="I5" s="4" t="s">
        <v>164</v>
      </c>
      <c r="J5" s="5">
        <v>9</v>
      </c>
    </row>
    <row r="6" spans="1:10" x14ac:dyDescent="0.25">
      <c r="A6" s="4" t="s">
        <v>17</v>
      </c>
      <c r="B6" s="5">
        <v>66500</v>
      </c>
      <c r="C6" s="5">
        <v>61000</v>
      </c>
      <c r="D6" s="5">
        <v>5500</v>
      </c>
      <c r="E6" s="5">
        <v>109500</v>
      </c>
      <c r="F6" s="5">
        <v>242500</v>
      </c>
      <c r="I6" s="4" t="s">
        <v>165</v>
      </c>
      <c r="J6" s="5">
        <v>11</v>
      </c>
    </row>
    <row r="7" spans="1:10" x14ac:dyDescent="0.25">
      <c r="A7" s="4" t="s">
        <v>54</v>
      </c>
      <c r="B7" s="5">
        <v>175000</v>
      </c>
      <c r="C7" s="5"/>
      <c r="D7" s="5">
        <v>11000</v>
      </c>
      <c r="E7" s="5"/>
      <c r="F7" s="5">
        <v>186000</v>
      </c>
      <c r="I7" s="4" t="s">
        <v>166</v>
      </c>
      <c r="J7" s="5">
        <v>7</v>
      </c>
    </row>
    <row r="8" spans="1:10" x14ac:dyDescent="0.25">
      <c r="A8" s="4" t="s">
        <v>65</v>
      </c>
      <c r="B8" s="5">
        <v>157000</v>
      </c>
      <c r="C8" s="5"/>
      <c r="D8" s="5">
        <v>16000</v>
      </c>
      <c r="E8" s="5"/>
      <c r="F8" s="5">
        <v>173000</v>
      </c>
      <c r="I8" s="4" t="s">
        <v>167</v>
      </c>
      <c r="J8" s="5">
        <v>8</v>
      </c>
    </row>
    <row r="9" spans="1:10" x14ac:dyDescent="0.25">
      <c r="A9" s="4" t="s">
        <v>119</v>
      </c>
      <c r="B9" s="5">
        <v>61500</v>
      </c>
      <c r="C9" s="5">
        <v>93000</v>
      </c>
      <c r="D9" s="5">
        <v>4000</v>
      </c>
      <c r="E9" s="5"/>
      <c r="F9" s="5">
        <v>158500</v>
      </c>
      <c r="I9" s="4" t="s">
        <v>168</v>
      </c>
      <c r="J9" s="5">
        <v>11</v>
      </c>
    </row>
    <row r="10" spans="1:10" x14ac:dyDescent="0.25">
      <c r="A10" s="4" t="s">
        <v>129</v>
      </c>
      <c r="B10" s="5">
        <v>68500</v>
      </c>
      <c r="C10" s="5">
        <v>42000</v>
      </c>
      <c r="D10" s="5"/>
      <c r="E10" s="5"/>
      <c r="F10" s="5">
        <v>110500</v>
      </c>
      <c r="I10" s="4" t="s">
        <v>158</v>
      </c>
      <c r="J10" s="5">
        <v>50</v>
      </c>
    </row>
    <row r="11" spans="1:10" x14ac:dyDescent="0.25">
      <c r="A11" s="4" t="s">
        <v>138</v>
      </c>
      <c r="B11" s="5">
        <v>48500</v>
      </c>
      <c r="C11" s="5">
        <v>25500</v>
      </c>
      <c r="D11" s="5"/>
      <c r="E11" s="5"/>
      <c r="F11" s="5">
        <v>74000</v>
      </c>
    </row>
    <row r="12" spans="1:10" x14ac:dyDescent="0.25">
      <c r="A12" s="4" t="s">
        <v>35</v>
      </c>
      <c r="B12" s="5">
        <v>108500</v>
      </c>
      <c r="C12" s="5"/>
      <c r="D12" s="5">
        <v>3000</v>
      </c>
      <c r="E12" s="5"/>
      <c r="F12" s="5">
        <v>111500</v>
      </c>
    </row>
    <row r="13" spans="1:10" x14ac:dyDescent="0.25">
      <c r="A13" s="4" t="s">
        <v>87</v>
      </c>
      <c r="B13" s="5">
        <v>318000</v>
      </c>
      <c r="C13" s="5"/>
      <c r="D13" s="5">
        <v>12500</v>
      </c>
      <c r="E13" s="5">
        <v>285500</v>
      </c>
      <c r="F13" s="5">
        <v>616000</v>
      </c>
    </row>
    <row r="14" spans="1:10" x14ac:dyDescent="0.25">
      <c r="A14" s="4" t="s">
        <v>76</v>
      </c>
      <c r="B14" s="5">
        <v>83500</v>
      </c>
      <c r="C14" s="5">
        <v>27000</v>
      </c>
      <c r="D14" s="5"/>
      <c r="E14" s="5">
        <v>53000</v>
      </c>
      <c r="F14" s="5">
        <v>163500</v>
      </c>
    </row>
    <row r="15" spans="1:10" x14ac:dyDescent="0.25">
      <c r="A15" s="4" t="s">
        <v>44</v>
      </c>
      <c r="B15" s="5">
        <v>64500</v>
      </c>
      <c r="C15" s="5"/>
      <c r="D15" s="5">
        <v>16500</v>
      </c>
      <c r="E15" s="5"/>
      <c r="F15" s="5">
        <v>81000</v>
      </c>
    </row>
    <row r="16" spans="1:10" x14ac:dyDescent="0.25">
      <c r="A16" s="4" t="s">
        <v>97</v>
      </c>
      <c r="B16" s="5">
        <v>120000</v>
      </c>
      <c r="C16" s="5">
        <v>55500</v>
      </c>
      <c r="D16" s="5"/>
      <c r="E16" s="5"/>
      <c r="F16" s="5">
        <v>175500</v>
      </c>
    </row>
    <row r="17" spans="1:6" x14ac:dyDescent="0.25">
      <c r="A17" s="4" t="s">
        <v>158</v>
      </c>
      <c r="B17" s="5">
        <v>1381500</v>
      </c>
      <c r="C17" s="5">
        <v>397000</v>
      </c>
      <c r="D17" s="5">
        <v>73500</v>
      </c>
      <c r="E17" s="5">
        <v>448000</v>
      </c>
      <c r="F17" s="5">
        <v>2300000</v>
      </c>
    </row>
    <row r="20" spans="1:6" x14ac:dyDescent="0.25">
      <c r="A20" s="7" t="s">
        <v>170</v>
      </c>
      <c r="B20" s="6"/>
      <c r="C20" s="6"/>
      <c r="D20" s="6"/>
    </row>
    <row r="21" spans="1:6" x14ac:dyDescent="0.25">
      <c r="A21" s="3" t="s">
        <v>162</v>
      </c>
      <c r="B21" s="3" t="s">
        <v>159</v>
      </c>
    </row>
    <row r="22" spans="1:6" x14ac:dyDescent="0.25">
      <c r="A22" s="3" t="s">
        <v>157</v>
      </c>
      <c r="B22" t="s">
        <v>21</v>
      </c>
      <c r="C22" t="s">
        <v>28</v>
      </c>
      <c r="D22" t="s">
        <v>158</v>
      </c>
    </row>
    <row r="23" spans="1:6" x14ac:dyDescent="0.25">
      <c r="A23" s="4" t="s">
        <v>108</v>
      </c>
      <c r="B23" s="5">
        <v>5</v>
      </c>
      <c r="C23" s="5"/>
      <c r="D23" s="5">
        <v>5</v>
      </c>
    </row>
    <row r="24" spans="1:6" x14ac:dyDescent="0.25">
      <c r="A24" s="4" t="s">
        <v>17</v>
      </c>
      <c r="B24" s="5">
        <v>2</v>
      </c>
      <c r="C24" s="5">
        <v>3</v>
      </c>
      <c r="D24" s="5">
        <v>5</v>
      </c>
    </row>
    <row r="25" spans="1:6" x14ac:dyDescent="0.25">
      <c r="A25" s="4" t="s">
        <v>54</v>
      </c>
      <c r="B25" s="5">
        <v>4</v>
      </c>
      <c r="C25" s="5">
        <v>1</v>
      </c>
      <c r="D25" s="5">
        <v>5</v>
      </c>
    </row>
    <row r="26" spans="1:6" x14ac:dyDescent="0.25">
      <c r="A26" s="4" t="s">
        <v>65</v>
      </c>
      <c r="B26" s="5">
        <v>3</v>
      </c>
      <c r="C26" s="5">
        <v>2</v>
      </c>
      <c r="D26" s="5">
        <v>5</v>
      </c>
    </row>
    <row r="27" spans="1:6" x14ac:dyDescent="0.25">
      <c r="A27" s="4" t="s">
        <v>119</v>
      </c>
      <c r="B27" s="5">
        <v>4</v>
      </c>
      <c r="C27" s="5">
        <v>1</v>
      </c>
      <c r="D27" s="5">
        <v>5</v>
      </c>
    </row>
    <row r="28" spans="1:6" x14ac:dyDescent="0.25">
      <c r="A28" s="4" t="s">
        <v>129</v>
      </c>
      <c r="B28" s="5">
        <v>2</v>
      </c>
      <c r="C28" s="5">
        <v>3</v>
      </c>
      <c r="D28" s="5">
        <v>5</v>
      </c>
    </row>
    <row r="29" spans="1:6" x14ac:dyDescent="0.25">
      <c r="A29" s="4" t="s">
        <v>138</v>
      </c>
      <c r="B29" s="5">
        <v>3</v>
      </c>
      <c r="C29" s="5">
        <v>2</v>
      </c>
      <c r="D29" s="5">
        <v>5</v>
      </c>
    </row>
    <row r="30" spans="1:6" x14ac:dyDescent="0.25">
      <c r="A30" s="4" t="s">
        <v>35</v>
      </c>
      <c r="B30" s="5">
        <v>3</v>
      </c>
      <c r="C30" s="5">
        <v>2</v>
      </c>
      <c r="D30" s="5">
        <v>5</v>
      </c>
    </row>
    <row r="31" spans="1:6" x14ac:dyDescent="0.25">
      <c r="A31" s="4" t="s">
        <v>87</v>
      </c>
      <c r="B31" s="5">
        <v>3</v>
      </c>
      <c r="C31" s="5">
        <v>2</v>
      </c>
      <c r="D31" s="5">
        <v>5</v>
      </c>
    </row>
    <row r="32" spans="1:6" x14ac:dyDescent="0.25">
      <c r="A32" s="4" t="s">
        <v>76</v>
      </c>
      <c r="B32" s="5">
        <v>3</v>
      </c>
      <c r="C32" s="5">
        <v>2</v>
      </c>
      <c r="D32" s="5">
        <v>5</v>
      </c>
    </row>
    <row r="33" spans="1:4" x14ac:dyDescent="0.25">
      <c r="A33" s="4" t="s">
        <v>44</v>
      </c>
      <c r="B33" s="5">
        <v>3</v>
      </c>
      <c r="C33" s="5">
        <v>2</v>
      </c>
      <c r="D33" s="5">
        <v>5</v>
      </c>
    </row>
    <row r="34" spans="1:4" x14ac:dyDescent="0.25">
      <c r="A34" s="4" t="s">
        <v>97</v>
      </c>
      <c r="B34" s="5">
        <v>3</v>
      </c>
      <c r="C34" s="5">
        <v>2</v>
      </c>
      <c r="D34" s="5">
        <v>5</v>
      </c>
    </row>
    <row r="35" spans="1:4" x14ac:dyDescent="0.25">
      <c r="A35" s="4" t="s">
        <v>158</v>
      </c>
      <c r="B35" s="5">
        <v>38</v>
      </c>
      <c r="C35" s="5">
        <v>22</v>
      </c>
      <c r="D35" s="5">
        <v>60</v>
      </c>
    </row>
  </sheetData>
  <mergeCells count="3">
    <mergeCell ref="A2:F2"/>
    <mergeCell ref="I2:J2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 Vidi Vici</dc:creator>
  <cp:lastModifiedBy>Vini Vidi Vici</cp:lastModifiedBy>
  <dcterms:created xsi:type="dcterms:W3CDTF">2026-10-27T08:38:44Z</dcterms:created>
  <dcterms:modified xsi:type="dcterms:W3CDTF">2026-10-27T20:59:21Z</dcterms:modified>
</cp:coreProperties>
</file>